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itopfer\Documents\Моделирование\GLPK\pipes-src\Задание-2021\"/>
    </mc:Choice>
  </mc:AlternateContent>
  <xr:revisionPtr revIDLastSave="0" documentId="13_ncr:1_{1F3A6208-F812-433A-9B44-1FD16E0BB141}" xr6:coauthVersionLast="47" xr6:coauthVersionMax="47" xr10:uidLastSave="{00000000-0000-0000-0000-000000000000}"/>
  <bookViews>
    <workbookView xWindow="42885" yWindow="7500" windowWidth="23040" windowHeight="12120" tabRatio="925" activeTab="1" xr2:uid="{00000000-000D-0000-FFFF-FFFF00000000}"/>
  </bookViews>
  <sheets>
    <sheet name="parameters_table" sheetId="30" r:id="rId1"/>
    <sheet name="input_data" sheetId="27" r:id="rId2"/>
  </sheets>
  <definedNames>
    <definedName name="objective_report">#REF!</definedName>
    <definedName name="solution_repo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F4" i="27" s="1"/>
  <c r="F5" i="27" s="1"/>
  <c r="F6" i="27" s="1"/>
  <c r="F7" i="27" s="1"/>
  <c r="F8" i="27" s="1"/>
  <c r="F9" i="27" s="1"/>
  <c r="F10" i="27" s="1"/>
  <c r="F11" i="27" s="1"/>
  <c r="F12" i="27" s="1"/>
  <c r="F13" i="27" s="1"/>
  <c r="E3" i="27"/>
  <c r="E4" i="27" s="1"/>
  <c r="E5" i="27" s="1"/>
  <c r="E6" i="27" s="1"/>
  <c r="E7" i="27" s="1"/>
  <c r="E8" i="27" s="1"/>
  <c r="E9" i="27" s="1"/>
  <c r="E10" i="27" s="1"/>
  <c r="E11" i="27" s="1"/>
  <c r="E12" i="27" s="1"/>
  <c r="E13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zgv</author>
  </authors>
  <commentList>
    <comment ref="A1" authorId="0" shapeId="0" xr:uid="{41537DEF-CCC8-4014-A169-C4C0DF91B2DC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Начальный запас, т</t>
        </r>
      </text>
    </comment>
    <comment ref="B1" authorId="0" shapeId="0" xr:uid="{12F86993-3EA2-4774-B9A5-BC3A6651B53D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Мощность, т/день</t>
        </r>
      </text>
    </comment>
    <comment ref="C1" authorId="0" shapeId="0" xr:uid="{0AD36383-8164-4D2E-8FD5-44EB1E8B7CC8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Затраты на хранение запаса, евро за т. в месяц</t>
        </r>
      </text>
    </comment>
    <comment ref="D1" authorId="0" shapeId="0" xr:uid="{32EEE0B2-BB29-4C81-8588-B7219F35FFEB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Затраты на сверхурочное производство, евро/т</t>
        </r>
      </text>
    </comment>
    <comment ref="E1" authorId="0" shapeId="0" xr:uid="{B254A408-E8AE-490E-AB5C-4AE328BA2029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Потери при простое производства, евро/т</t>
        </r>
      </text>
    </comment>
    <comment ref="F1" authorId="0" shapeId="0" xr:uid="{EB1E8771-64D6-445F-83E5-687B5579E712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Штраф за задержку поставки, евро/т в месяц</t>
        </r>
      </text>
    </comment>
    <comment ref="G1" authorId="0" shapeId="0" xr:uid="{D972DABE-26BB-470C-92F3-5A580765A63C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Стоимость тонны у субподрядчика, евро/т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F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this is a 3-day safety stock</t>
        </r>
      </text>
    </comment>
  </commentList>
</comments>
</file>

<file path=xl/sharedStrings.xml><?xml version="1.0" encoding="utf-8"?>
<sst xmlns="http://schemas.openxmlformats.org/spreadsheetml/2006/main" count="13" uniqueCount="13">
  <si>
    <t>period</t>
  </si>
  <si>
    <t>demand</t>
  </si>
  <si>
    <t>workdays</t>
  </si>
  <si>
    <t>max_workdays</t>
  </si>
  <si>
    <t>max_subcontractor</t>
  </si>
  <si>
    <t>max_inventory</t>
  </si>
  <si>
    <t>stock0</t>
  </si>
  <si>
    <t>rate</t>
  </si>
  <si>
    <t>cost_stock</t>
  </si>
  <si>
    <t>cost_overtime</t>
  </si>
  <si>
    <t>cost_idle</t>
  </si>
  <si>
    <t>cost_backlog</t>
  </si>
  <si>
    <t>cost_sub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</si>
</sst>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56FE-2CEE-4177-8A33-2B9938869E65}">
  <dimension ref="A1:G2"/>
  <sheetViews>
    <sheetView showGridLines="0" workbookViewId="0">
      <selection activeCell="F2" sqref="F2"/>
    </sheetView>
  </sheetViews>
  <sheetFormatPr defaultRowHeight="13.2" x14ac:dyDescent="0.25"/>
  <cols>
    <col min="1" max="1" width="6.5546875" bestFit="1" customWidth="1"/>
    <col min="2" max="2" width="4.109375" style="2" bestFit="1" customWidth="1"/>
    <col min="3" max="3" width="12.6640625" customWidth="1"/>
  </cols>
  <sheetData>
    <row r="1" spans="1:7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>
        <v>100</v>
      </c>
      <c r="B2">
        <v>65</v>
      </c>
      <c r="C2">
        <v>190</v>
      </c>
      <c r="D2">
        <v>700</v>
      </c>
      <c r="E2">
        <v>1300</v>
      </c>
      <c r="F2">
        <v>2300</v>
      </c>
      <c r="G2">
        <v>600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/>
  </sheetViews>
  <sheetFormatPr defaultRowHeight="13.2" x14ac:dyDescent="0.25"/>
  <cols>
    <col min="1" max="1" width="12.44140625" customWidth="1"/>
    <col min="2" max="2" width="14" customWidth="1"/>
    <col min="3" max="3" width="15.109375" customWidth="1"/>
    <col min="4" max="4" width="20.109375" customWidth="1"/>
    <col min="5" max="5" width="23.8867187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1475</v>
      </c>
      <c r="C2">
        <v>19</v>
      </c>
      <c r="D2">
        <v>24</v>
      </c>
      <c r="E2">
        <v>300</v>
      </c>
      <c r="F2">
        <v>195</v>
      </c>
    </row>
    <row r="3" spans="1:6" x14ac:dyDescent="0.25">
      <c r="A3">
        <v>2</v>
      </c>
      <c r="B3">
        <v>510</v>
      </c>
      <c r="C3">
        <v>9</v>
      </c>
      <c r="D3">
        <v>17</v>
      </c>
      <c r="E3">
        <f t="shared" ref="E3:E12" si="0">E2</f>
        <v>300</v>
      </c>
      <c r="F3">
        <f t="shared" ref="F3:F12" si="1">F2</f>
        <v>195</v>
      </c>
    </row>
    <row r="4" spans="1:6" x14ac:dyDescent="0.25">
      <c r="A4">
        <v>3</v>
      </c>
      <c r="B4">
        <v>1655</v>
      </c>
      <c r="C4">
        <v>21</v>
      </c>
      <c r="D4">
        <v>30</v>
      </c>
      <c r="E4">
        <f t="shared" si="0"/>
        <v>300</v>
      </c>
      <c r="F4">
        <f t="shared" si="1"/>
        <v>195</v>
      </c>
    </row>
    <row r="5" spans="1:6" x14ac:dyDescent="0.25">
      <c r="A5">
        <v>4</v>
      </c>
      <c r="B5">
        <v>1320</v>
      </c>
      <c r="C5">
        <v>22</v>
      </c>
      <c r="D5">
        <v>31</v>
      </c>
      <c r="E5">
        <f t="shared" si="0"/>
        <v>300</v>
      </c>
      <c r="F5">
        <f t="shared" si="1"/>
        <v>195</v>
      </c>
    </row>
    <row r="6" spans="1:6" x14ac:dyDescent="0.25">
      <c r="A6">
        <v>5</v>
      </c>
      <c r="B6">
        <v>1757</v>
      </c>
      <c r="C6">
        <v>21</v>
      </c>
      <c r="D6">
        <v>30</v>
      </c>
      <c r="E6">
        <f t="shared" si="0"/>
        <v>300</v>
      </c>
      <c r="F6">
        <f t="shared" si="1"/>
        <v>195</v>
      </c>
    </row>
    <row r="7" spans="1:6" x14ac:dyDescent="0.25">
      <c r="A7">
        <v>6</v>
      </c>
      <c r="B7">
        <v>1210</v>
      </c>
      <c r="C7">
        <v>16</v>
      </c>
      <c r="D7">
        <v>24</v>
      </c>
      <c r="E7">
        <f t="shared" si="0"/>
        <v>300</v>
      </c>
      <c r="F7">
        <f t="shared" si="1"/>
        <v>195</v>
      </c>
    </row>
    <row r="8" spans="1:6" x14ac:dyDescent="0.25">
      <c r="A8">
        <v>7</v>
      </c>
      <c r="B8">
        <v>1603</v>
      </c>
      <c r="C8">
        <v>22</v>
      </c>
      <c r="D8">
        <v>30</v>
      </c>
      <c r="E8">
        <f t="shared" si="0"/>
        <v>300</v>
      </c>
      <c r="F8">
        <f t="shared" si="1"/>
        <v>195</v>
      </c>
    </row>
    <row r="9" spans="1:6" x14ac:dyDescent="0.25">
      <c r="A9">
        <v>8</v>
      </c>
      <c r="B9">
        <v>1475</v>
      </c>
      <c r="C9">
        <v>20</v>
      </c>
      <c r="D9">
        <v>28</v>
      </c>
      <c r="E9">
        <f t="shared" si="0"/>
        <v>300</v>
      </c>
      <c r="F9">
        <f t="shared" si="1"/>
        <v>195</v>
      </c>
    </row>
    <row r="10" spans="1:6" x14ac:dyDescent="0.25">
      <c r="A10">
        <v>9</v>
      </c>
      <c r="B10">
        <v>1320</v>
      </c>
      <c r="C10">
        <v>22</v>
      </c>
      <c r="D10">
        <v>31</v>
      </c>
      <c r="E10">
        <f t="shared" si="0"/>
        <v>300</v>
      </c>
      <c r="F10">
        <f t="shared" si="1"/>
        <v>195</v>
      </c>
    </row>
    <row r="11" spans="1:6" x14ac:dyDescent="0.25">
      <c r="A11">
        <v>10</v>
      </c>
      <c r="B11">
        <v>1685</v>
      </c>
      <c r="C11">
        <v>20</v>
      </c>
      <c r="D11">
        <v>30</v>
      </c>
      <c r="E11">
        <f t="shared" si="0"/>
        <v>300</v>
      </c>
      <c r="F11">
        <f t="shared" si="1"/>
        <v>195</v>
      </c>
    </row>
    <row r="12" spans="1:6" x14ac:dyDescent="0.25">
      <c r="A12">
        <v>11</v>
      </c>
      <c r="B12">
        <v>1199</v>
      </c>
      <c r="C12">
        <v>20</v>
      </c>
      <c r="D12">
        <v>20</v>
      </c>
      <c r="E12">
        <f t="shared" si="0"/>
        <v>300</v>
      </c>
      <c r="F12">
        <f t="shared" si="1"/>
        <v>195</v>
      </c>
    </row>
    <row r="13" spans="1:6" x14ac:dyDescent="0.25">
      <c r="A13">
        <v>12</v>
      </c>
      <c r="B13">
        <v>1782</v>
      </c>
      <c r="C13">
        <v>20</v>
      </c>
      <c r="D13">
        <v>30</v>
      </c>
      <c r="E13">
        <f>input_data!E12</f>
        <v>300</v>
      </c>
      <c r="F13">
        <f>input_data!F12</f>
        <v>195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42BC0-9AF2-45FA-AD68-2C689EC0F6CE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parameters_table</vt:lpstr>
      <vt:lpstr>input_data</vt:lpstr>
    </vt:vector>
  </TitlesOfParts>
  <Company>Microsoft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</dc:creator>
  <cp:lastModifiedBy>zgv</cp:lastModifiedBy>
  <cp:lastPrinted>2009-06-06T08:23:23Z</cp:lastPrinted>
  <dcterms:created xsi:type="dcterms:W3CDTF">2009-05-29T20:10:32Z</dcterms:created>
  <dcterms:modified xsi:type="dcterms:W3CDTF">2026-03-20T06:30:05Z</dcterms:modified>
</cp:coreProperties>
</file>