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hidePivotFieldList="1" defaultThemeVersion="124226"/>
  <bookViews>
    <workbookView xWindow="480" yWindow="60" windowWidth="20115" windowHeight="10770" tabRatio="925" activeTab="9"/>
  </bookViews>
  <sheets>
    <sheet sheetId="26" r:id="rId1" name="parameters table"/>
    <sheet sheetId="27" r:id="rId2" name="input data"/>
    <sheet sheetId="32" r:id="rId3" name="Service Level Vis"/>
    <sheet sheetId="34" r:id="rId4" name="Production sourcing Vis"/>
    <sheet sheetId="37" r:id="rId5" name="Objective Vis"/>
    <sheet sheetId="33" r:id="rId6" name="Production Sourcing"/>
    <sheet sheetId="28" r:id="rId7" name="solution_report"/>
    <sheet sheetId="31" r:id="rId8" name="Service Level"/>
    <sheet sheetId="36" r:id="rId9" name="Objective"/>
    <sheet sheetId="35" r:id="rId10" name="objective_report"/>
  </sheets>
  <definedNames>
    <definedName name="input_data">'input data'!$A$1:$F$13</definedName>
    <definedName name="objective_report">'objective_report'!$A$1:$G$2</definedName>
    <definedName name="parameters">'parameters table'!$A$1:$C$8</definedName>
    <definedName name="solution_report">'solution_report'!$A$1:$K$13</definedName>
  </definedNames>
  <calcPr calcId="162913" fullCalcOnLoad="true"/>
  <pivotCaches>
    <pivotCache cacheId="3" r:id="rId11"/>
    <pivotCache cacheId="5" r:id="rId12"/>
  </pivotCaches>
</workbook>
</file>

<file path=xl/calcChain.xml><?xml version="1.0" encoding="utf-8"?>
<calcChain xmlns="http://schemas.openxmlformats.org/spreadsheetml/2006/main">
  <c r="F3" i="27" l="1"/>
  <c r="F4" i="27" s="1"/>
  <c r="F5" i="27" s="1"/>
  <c r="F6" i="27" s="1"/>
  <c r="F7" i="27" s="1"/>
  <c r="F8" i="27" s="1"/>
  <c r="F9" i="27" s="1"/>
  <c r="F10" i="27" s="1"/>
  <c r="F11" i="27" s="1"/>
  <c r="F12" i="27" s="1"/>
  <c r="F13" i="27" s="1"/>
  <c r="E3" i="27"/>
  <c r="E4" i="27" s="1"/>
  <c r="E5" i="27" s="1"/>
  <c r="E6" i="27" s="1"/>
  <c r="E7" i="27" s="1"/>
  <c r="E8" i="27" s="1"/>
  <c r="E9" i="27" s="1"/>
  <c r="E10" i="27" s="1"/>
  <c r="E11" i="27" s="1"/>
  <c r="E12" i="27" s="1"/>
  <c r="E13" i="27" s="1"/>
</calcChain>
</file>

<file path=xl/comments1.xml><?xml version="1.0" encoding="utf-8"?>
<comments xmlns="http://schemas.openxmlformats.org/spreadsheetml/2006/main">
  <authors>
    <author>Gleb Zakhodyakin</author>
  </authors>
  <commentList>
    <comment ref="F1" authorId="0" shapeId="0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this is a 3-day safety stock</t>
        </r>
      </text>
    </comment>
  </commentList>
</comments>
</file>

<file path=xl/sharedStrings.xml><?xml version="1.0" encoding="utf-8"?>
<sst xmlns="http://schemas.openxmlformats.org/spreadsheetml/2006/main" count="62" uniqueCount="54">
  <si>
    <t>Available capacity</t>
  </si>
  <si>
    <t>ton</t>
  </si>
  <si>
    <t>ton/day</t>
  </si>
  <si>
    <t>param_name</t>
  </si>
  <si>
    <t>param_value</t>
  </si>
  <si>
    <t>period</t>
  </si>
  <si>
    <t>demand</t>
  </si>
  <si>
    <t>workdays</t>
  </si>
  <si>
    <t>max_workdays</t>
  </si>
  <si>
    <t>max_subcontractor</t>
  </si>
  <si>
    <t>max_inventory</t>
  </si>
  <si>
    <t>Unit backlog cost</t>
  </si>
  <si>
    <t>Unit cost for subcontracting</t>
  </si>
  <si>
    <t>Beginning inventory</t>
  </si>
  <si>
    <t>Unit cost for overtime production</t>
  </si>
  <si>
    <t>Unit cost for non-production</t>
  </si>
  <si>
    <t>Unit inventory cost</t>
  </si>
  <si>
    <t>unit</t>
  </si>
  <si>
    <t>euro/ton</t>
  </si>
  <si>
    <t>Названия строк</t>
  </si>
  <si>
    <t>Общий итог</t>
  </si>
  <si>
    <t>Demand[t]</t>
  </si>
  <si>
    <t>Sales[t]</t>
  </si>
  <si>
    <t>Backlog[t]</t>
  </si>
  <si>
    <t>make[t]</t>
  </si>
  <si>
    <t>overtime[t]</t>
  </si>
  <si>
    <t>subcontracting[t]</t>
  </si>
  <si>
    <t>nonproduction[t]</t>
  </si>
  <si>
    <t>rt capacity[t]</t>
  </si>
  <si>
    <t>Значения</t>
  </si>
  <si>
    <t>inventory[t]</t>
  </si>
  <si>
    <t>sales</t>
  </si>
  <si>
    <t>make</t>
  </si>
  <si>
    <t>overtime</t>
  </si>
  <si>
    <t>subcontracting</t>
  </si>
  <si>
    <t>inventory</t>
  </si>
  <si>
    <t>backlog</t>
  </si>
  <si>
    <t>nonproduction</t>
  </si>
  <si>
    <t>rt_capacity</t>
  </si>
  <si>
    <t>max_capacity</t>
  </si>
  <si>
    <t>max_capacity[t]</t>
  </si>
  <si>
    <r>
      <rPr>
        <b/>
        <sz val="10"/>
        <rFont val="Arial Cyr"/>
        <charset val="204"/>
      </rPr>
      <t>Warning!</t>
    </r>
    <r>
      <rPr>
        <sz val="10"/>
        <rFont val="Arial Cyr"/>
        <charset val="204"/>
      </rPr>
      <t xml:space="preserve"> Adjust the </t>
    </r>
    <r>
      <rPr>
        <b/>
        <sz val="10"/>
        <rFont val="Arial Cyr"/>
        <charset val="204"/>
      </rPr>
      <t xml:space="preserve">input_data </t>
    </r>
    <r>
      <rPr>
        <sz val="10"/>
        <rFont val="Arial Cyr"/>
        <charset val="204"/>
      </rPr>
      <t>name to match your table if its size has increased. See</t>
    </r>
    <r>
      <rPr>
        <b/>
        <sz val="10"/>
        <rFont val="Arial Cyr"/>
        <charset val="204"/>
      </rPr>
      <t xml:space="preserve"> Formula/Names </t>
    </r>
    <r>
      <rPr>
        <sz val="10"/>
        <rFont val="Arial Cyr"/>
        <charset val="204"/>
      </rPr>
      <t>pane.</t>
    </r>
  </si>
  <si>
    <t>run</t>
  </si>
  <si>
    <t>TotalCost</t>
  </si>
  <si>
    <t>total_ot_cost</t>
  </si>
  <si>
    <t>total_sub_cost</t>
  </si>
  <si>
    <t>total_np_cost</t>
  </si>
  <si>
    <t>total_inv_cost</t>
  </si>
  <si>
    <t>total_backlog_cost</t>
  </si>
  <si>
    <t>Overtime Cost</t>
  </si>
  <si>
    <t>Subcontracting Cost</t>
  </si>
  <si>
    <t>Non-Production Cost</t>
  </si>
  <si>
    <t>Inventory Cost</t>
  </si>
  <si>
    <t>Backlog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</si>
</sst>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 Cyr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/>
    <xf numFmtId="0" fontId="0" fillId="0" borderId="0" xfId="0" quotePrefix="1" applyNumberForma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4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11" Type="http://schemas.openxmlformats.org/officeDocument/2006/relationships/pivotCacheDefinition" Target="pivotCache/pivotCacheDefinition1.xml"/><Relationship Id="rId5" Type="http://schemas.openxmlformats.org/officeDocument/2006/relationships/chartsheet" Target="chartsheets/sheet3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7.xml"/><Relationship Id="rId4" Type="http://schemas.openxmlformats.org/officeDocument/2006/relationships/chartsheet" Target="chartsheets/sheet2.xml"/><Relationship Id="rId9" Type="http://schemas.openxmlformats.org/officeDocument/2006/relationships/worksheet" Target="worksheets/sheet6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[pipes.xlsx]Service Level!Сводная таблица2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areaChart>
        <c:grouping val="standard"/>
        <c:varyColors val="0"/>
        <c:ser>
          <c:idx val="3"/>
          <c:order val="3"/>
          <c:tx>
            <c:strRef>
              <c:f>'Service Level'!$E$1:$E$2</c:f>
              <c:strCache>
                <c:ptCount val="1"/>
                <c:pt idx="0">
                  <c:v>inventory[t]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'Service Level'!$A$3:$A$15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'Service Level'!$E$3:$E$15</c:f>
              <c:numCache>
                <c:formatCode>General</c:formatCode>
                <c:ptCount val="12"/>
                <c:pt idx="0">
                  <c:v>0</c:v>
                </c:pt>
                <c:pt idx="1">
                  <c:v>75</c:v>
                </c:pt>
                <c:pt idx="2">
                  <c:v>0</c:v>
                </c:pt>
                <c:pt idx="3">
                  <c:v>110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110</c:v>
                </c:pt>
                <c:pt idx="9">
                  <c:v>0</c:v>
                </c:pt>
                <c:pt idx="10">
                  <c:v>101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4-497D-A50D-883BD83B8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963424"/>
        <c:axId val="1514961760"/>
      </c:areaChart>
      <c:barChart>
        <c:barDir val="col"/>
        <c:grouping val="clustered"/>
        <c:varyColors val="0"/>
        <c:ser>
          <c:idx val="1"/>
          <c:order val="1"/>
          <c:tx>
            <c:strRef>
              <c:f>'Service Level'!$C$1:$C$2</c:f>
              <c:strCache>
                <c:ptCount val="1"/>
                <c:pt idx="0">
                  <c:v>Sales[t]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'Service Level'!$A$3:$A$15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'Service Level'!$C$3:$C$15</c:f>
              <c:numCache>
                <c:formatCode>General</c:formatCode>
                <c:ptCount val="12"/>
                <c:pt idx="0">
                  <c:v>1475</c:v>
                </c:pt>
                <c:pt idx="1">
                  <c:v>510</c:v>
                </c:pt>
                <c:pt idx="2">
                  <c:v>1655</c:v>
                </c:pt>
                <c:pt idx="3">
                  <c:v>1320</c:v>
                </c:pt>
                <c:pt idx="4">
                  <c:v>1757</c:v>
                </c:pt>
                <c:pt idx="5">
                  <c:v>1210</c:v>
                </c:pt>
                <c:pt idx="6">
                  <c:v>1603</c:v>
                </c:pt>
                <c:pt idx="7">
                  <c:v>1475</c:v>
                </c:pt>
                <c:pt idx="8">
                  <c:v>1320</c:v>
                </c:pt>
                <c:pt idx="9">
                  <c:v>1685</c:v>
                </c:pt>
                <c:pt idx="10">
                  <c:v>1199</c:v>
                </c:pt>
                <c:pt idx="11">
                  <c:v>1782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3-4727-AA4F-93C211E75F71}"/>
            </c:ext>
          </c:extLst>
        </c:ser>
        <c:ser>
          <c:idx val="2"/>
          <c:order val="2"/>
          <c:tx>
            <c:strRef>
              <c:f>'Service Level'!$D$1:$D$2</c:f>
              <c:strCache>
                <c:ptCount val="1"/>
                <c:pt idx="0">
                  <c:v>Backlog[t]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'Service Level'!$A$3:$A$15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'Service Level'!$D$3:$D$15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3-4727-AA4F-93C211E75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14963424"/>
        <c:axId val="1514961760"/>
      </c:barChart>
      <c:lineChart>
        <c:grouping val="standard"/>
        <c:varyColors val="0"/>
        <c:ser>
          <c:idx val="0"/>
          <c:order val="0"/>
          <c:tx>
            <c:strRef>
              <c:f>'Service Level'!$B$1:$B$2</c:f>
              <c:strCache>
                <c:ptCount val="1"/>
                <c:pt idx="0">
                  <c:v>Demand[t]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'Service Level'!$A$3:$A$15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'Service Level'!$B$3:$B$15</c:f>
              <c:numCache>
                <c:formatCode>General</c:formatCode>
                <c:ptCount val="12"/>
                <c:pt idx="0">
                  <c:v>1475</c:v>
                </c:pt>
                <c:pt idx="1">
                  <c:v>510</c:v>
                </c:pt>
                <c:pt idx="2">
                  <c:v>1655</c:v>
                </c:pt>
                <c:pt idx="3">
                  <c:v>1320</c:v>
                </c:pt>
                <c:pt idx="4">
                  <c:v>1757</c:v>
                </c:pt>
                <c:pt idx="5">
                  <c:v>1210</c:v>
                </c:pt>
                <c:pt idx="6">
                  <c:v>1603</c:v>
                </c:pt>
                <c:pt idx="7">
                  <c:v>1475</c:v>
                </c:pt>
                <c:pt idx="8">
                  <c:v>1320</c:v>
                </c:pt>
                <c:pt idx="9">
                  <c:v>1685</c:v>
                </c:pt>
                <c:pt idx="10">
                  <c:v>1199</c:v>
                </c:pt>
                <c:pt idx="11">
                  <c:v>1782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B3-4727-AA4F-93C211E75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963424"/>
        <c:axId val="1514961760"/>
      </c:lineChart>
      <c:catAx>
        <c:axId val="151496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961760"/>
        <c:crosses val="autoZero"/>
        <c:auto val="1"/>
        <c:lblAlgn val="ctr"/>
        <c:lblOffset val="100"/>
        <c:noMultiLvlLbl val="0"/>
      </c:catAx>
      <c:valAx>
        <c:axId val="151496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4963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[pipes.xlsx]Production Sourcing!Сводная таблица3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'Production Sourcing'!$B$1</c:f>
              <c:strCache>
                <c:ptCount val="1"/>
                <c:pt idx="0">
                  <c:v>make[t]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'Production Sourcing'!$A$2:$A$14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'Production Sourcing'!$B$2:$B$14</c:f>
              <c:numCache>
                <c:formatCode>General</c:formatCode>
                <c:ptCount val="12"/>
                <c:pt idx="0">
                  <c:v>1235</c:v>
                </c:pt>
                <c:pt idx="1">
                  <c:v>585</c:v>
                </c:pt>
                <c:pt idx="2">
                  <c:v>1365</c:v>
                </c:pt>
                <c:pt idx="3">
                  <c:v>1430</c:v>
                </c:pt>
                <c:pt idx="4">
                  <c:v>1365</c:v>
                </c:pt>
                <c:pt idx="5">
                  <c:v>1040</c:v>
                </c:pt>
                <c:pt idx="6">
                  <c:v>1430</c:v>
                </c:pt>
                <c:pt idx="7">
                  <c:v>1300</c:v>
                </c:pt>
                <c:pt idx="8">
                  <c:v>1430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3-4075-A3F3-CF4AA286FC52}"/>
            </c:ext>
          </c:extLst>
        </c:ser>
        <c:ser>
          <c:idx val="1"/>
          <c:order val="1"/>
          <c:tx>
            <c:strRef>
              <c:f>'Production Sourcing'!$C$1</c:f>
              <c:strCache>
                <c:ptCount val="1"/>
                <c:pt idx="0">
                  <c:v>overtime[t]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'Production Sourcing'!$A$2:$A$14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'Production Sourcing'!$C$2:$C$14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53-4075-A3F3-CF4AA286FC52}"/>
            </c:ext>
          </c:extLst>
        </c:ser>
        <c:ser>
          <c:idx val="2"/>
          <c:order val="2"/>
          <c:tx>
            <c:strRef>
              <c:f>'Production Sourcing'!$D$1</c:f>
              <c:strCache>
                <c:ptCount val="1"/>
                <c:pt idx="0">
                  <c:v>subcontracting[t]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'Production Sourcing'!$A$2:$A$14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'Production Sourcing'!$D$2:$D$14</c:f>
              <c:numCache>
                <c:formatCode>General</c:formatCode>
                <c:ptCount val="12"/>
                <c:pt idx="0">
                  <c:v>140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282</c:v>
                </c:pt>
                <c:pt idx="5">
                  <c:v>170</c:v>
                </c:pt>
                <c:pt idx="6">
                  <c:v>173</c:v>
                </c:pt>
                <c:pt idx="7">
                  <c:v>175</c:v>
                </c:pt>
                <c:pt idx="8">
                  <c:v>0</c:v>
                </c:pt>
                <c:pt idx="9">
                  <c:v>275</c:v>
                </c:pt>
                <c:pt idx="10">
                  <c:v>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53-4075-A3F3-CF4AA286FC52}"/>
            </c:ext>
          </c:extLst>
        </c:ser>
        <c:ser>
          <c:idx val="3"/>
          <c:order val="3"/>
          <c:tx>
            <c:strRef>
              <c:f>'Production Sourcing'!$E$1</c:f>
              <c:strCache>
                <c:ptCount val="1"/>
                <c:pt idx="0">
                  <c:v>nonproduction[t]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'Production Sourcing'!$A$2:$A$14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'Production Sourcing'!$E$2:$E$14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53-4075-A3F3-CF4AA286F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84534736"/>
        <c:axId val="1584531408"/>
      </c:barChart>
      <c:lineChart>
        <c:grouping val="standard"/>
        <c:varyColors val="0"/>
        <c:ser>
          <c:idx val="4"/>
          <c:order val="4"/>
          <c:tx>
            <c:strRef>
              <c:f>'Production Sourcing'!$F$1</c:f>
              <c:strCache>
                <c:ptCount val="1"/>
                <c:pt idx="0">
                  <c:v>rt capacity[t]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'Production Sourcing'!$A$2:$A$14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'Production Sourcing'!$F$2:$F$14</c:f>
              <c:numCache>
                <c:formatCode>General</c:formatCode>
                <c:ptCount val="12"/>
                <c:pt idx="0">
                  <c:v>1235</c:v>
                </c:pt>
                <c:pt idx="1">
                  <c:v>585</c:v>
                </c:pt>
                <c:pt idx="2">
                  <c:v>1365</c:v>
                </c:pt>
                <c:pt idx="3">
                  <c:v>1430</c:v>
                </c:pt>
                <c:pt idx="4">
                  <c:v>1365</c:v>
                </c:pt>
                <c:pt idx="5">
                  <c:v>1040</c:v>
                </c:pt>
                <c:pt idx="6">
                  <c:v>1430</c:v>
                </c:pt>
                <c:pt idx="7">
                  <c:v>1300</c:v>
                </c:pt>
                <c:pt idx="8">
                  <c:v>1430</c:v>
                </c:pt>
                <c:pt idx="9">
                  <c:v>1300</c:v>
                </c:pt>
                <c:pt idx="10">
                  <c:v>1300</c:v>
                </c:pt>
                <c:pt idx="11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53-4075-A3F3-CF4AA286FC52}"/>
            </c:ext>
          </c:extLst>
        </c:ser>
        <c:ser>
          <c:idx val="5"/>
          <c:order val="5"/>
          <c:tx>
            <c:strRef>
              <c:f>'Production Sourcing'!$G$1</c:f>
              <c:strCache>
                <c:ptCount val="1"/>
                <c:pt idx="0">
                  <c:v>max_capacity[t]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'Production Sourcing'!$A$2:$A$14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'Production Sourcing'!$G$2:$G$14</c:f>
              <c:numCache>
                <c:formatCode>General</c:formatCode>
                <c:ptCount val="12"/>
                <c:pt idx="0">
                  <c:v>1560</c:v>
                </c:pt>
                <c:pt idx="1">
                  <c:v>1105</c:v>
                </c:pt>
                <c:pt idx="2">
                  <c:v>1950</c:v>
                </c:pt>
                <c:pt idx="3">
                  <c:v>2015</c:v>
                </c:pt>
                <c:pt idx="4">
                  <c:v>1950</c:v>
                </c:pt>
                <c:pt idx="5">
                  <c:v>1560</c:v>
                </c:pt>
                <c:pt idx="6">
                  <c:v>1950</c:v>
                </c:pt>
                <c:pt idx="7">
                  <c:v>1820</c:v>
                </c:pt>
                <c:pt idx="8">
                  <c:v>2015</c:v>
                </c:pt>
                <c:pt idx="9">
                  <c:v>1950</c:v>
                </c:pt>
                <c:pt idx="10">
                  <c:v>1300</c:v>
                </c:pt>
                <c:pt idx="11">
                  <c:v>1950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C-4C25-8E4E-DCF8982C0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4534736"/>
        <c:axId val="1584531408"/>
      </c:lineChart>
      <c:catAx>
        <c:axId val="158453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531408"/>
        <c:crosses val="autoZero"/>
        <c:auto val="1"/>
        <c:lblAlgn val="ctr"/>
        <c:lblOffset val="100"/>
        <c:noMultiLvlLbl val="0"/>
      </c:catAx>
      <c:valAx>
        <c:axId val="158453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5347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[pipes.xlsx]Objective!Сводная таблица1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Objective!$A$1</c:f>
              <c:strCache>
                <c:ptCount val="1"/>
                <c:pt idx="0">
                  <c:v>Overtime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Objective!$A$2</c:f>
              <c:strCache>
                <c:ptCount val="1"/>
                <c:pt idx="0">
                  <c:v>Итог</c:v>
                </c:pt>
              </c:strCache>
            </c:strRef>
          </c:cat>
          <c:val>
            <c:numRef>
              <c:f>Objective!$A$2</c:f>
              <c:numCache>
                <c:formatCode>General</c:formatCode>
                <c:ptCount val="1"/>
                <c:pt idx="0">
                  <c:v>56700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3-44DE-A5AE-BAEE466463E6}"/>
            </c:ext>
          </c:extLst>
        </c:ser>
        <c:ser>
          <c:idx val="1"/>
          <c:order val="1"/>
          <c:tx>
            <c:strRef>
              <c:f>Objective!$B$1</c:f>
              <c:strCache>
                <c:ptCount val="1"/>
                <c:pt idx="0">
                  <c:v>Subcontracting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Objective!$A$2</c:f>
              <c:strCache>
                <c:ptCount val="1"/>
                <c:pt idx="0">
                  <c:v>Итог</c:v>
                </c:pt>
              </c:strCache>
            </c:strRef>
          </c:cat>
          <c:val>
            <c:numRef>
              <c:f>Objective!$B$2</c:f>
              <c:numCache>
                <c:formatCode>General</c:formatCode>
                <c:ptCount val="1"/>
                <c:pt idx="0">
                  <c:v>1038000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53-44DE-A5AE-BAEE466463E6}"/>
            </c:ext>
          </c:extLst>
        </c:ser>
        <c:ser>
          <c:idx val="2"/>
          <c:order val="2"/>
          <c:tx>
            <c:strRef>
              <c:f>Objective!$C$1</c:f>
              <c:strCache>
                <c:ptCount val="1"/>
                <c:pt idx="0">
                  <c:v>Non-Production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Objective!$A$2</c:f>
              <c:strCache>
                <c:ptCount val="1"/>
                <c:pt idx="0">
                  <c:v>Итог</c:v>
                </c:pt>
              </c:strCache>
            </c:strRef>
          </c:cat>
          <c:val>
            <c:numRef>
              <c:f>Objective!$C$2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53-44DE-A5AE-BAEE466463E6}"/>
            </c:ext>
          </c:extLst>
        </c:ser>
        <c:ser>
          <c:idx val="3"/>
          <c:order val="3"/>
          <c:tx>
            <c:strRef>
              <c:f>Objective!$D$1</c:f>
              <c:strCache>
                <c:ptCount val="1"/>
                <c:pt idx="0">
                  <c:v>Inventory 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Objective!$A$2</c:f>
              <c:strCache>
                <c:ptCount val="1"/>
                <c:pt idx="0">
                  <c:v>Итог</c:v>
                </c:pt>
              </c:strCache>
            </c:strRef>
          </c:cat>
          <c:val>
            <c:numRef>
              <c:f>Objective!$D$2</c:f>
              <c:numCache>
                <c:formatCode>General</c:formatCode>
                <c:ptCount val="1"/>
                <c:pt idx="0">
                  <c:v>75240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53-44DE-A5AE-BAEE466463E6}"/>
            </c:ext>
          </c:extLst>
        </c:ser>
        <c:ser>
          <c:idx val="4"/>
          <c:order val="4"/>
          <c:tx>
            <c:strRef>
              <c:f>Objective!$E$1</c:f>
              <c:strCache>
                <c:ptCount val="1"/>
                <c:pt idx="0">
                  <c:v>Backlog Cost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Objective!$A$2</c:f>
              <c:strCache>
                <c:ptCount val="1"/>
                <c:pt idx="0">
                  <c:v>Итог</c:v>
                </c:pt>
              </c:strCache>
            </c:strRef>
          </c:cat>
          <c:val>
            <c:numRef>
              <c:f>Objective!$E$2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53-44DE-A5AE-BAEE46646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51382255"/>
        <c:axId val="51382671"/>
      </c:barChart>
      <c:catAx>
        <c:axId val="51382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382671"/>
        <c:crosses val="autoZero"/>
        <c:auto val="1"/>
        <c:lblAlgn val="ctr"/>
        <c:lblOffset val="100"/>
        <c:noMultiLvlLbl val="0"/>
      </c:catAx>
      <c:valAx>
        <c:axId val="5138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3822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5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5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5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629" cy="6071419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7629" cy="6071419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leb Zakhodyakin" refreshedDate="42648.558721759262" createdVersion="6" refreshedVersion="6" minRefreshableVersion="3" recordCount="12">
  <cacheSource type="worksheet">
    <worksheetSource name="solution_report"/>
  </cacheSource>
  <cacheFields count="11">
    <cacheField name="period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emand" numFmtId="0">
      <sharedItems containsSemiMixedTypes="0" containsString="0" containsNumber="1" containsInteger="1" minValue="510" maxValue="1782"/>
    </cacheField>
    <cacheField name="sales" numFmtId="0">
      <sharedItems containsSemiMixedTypes="0" containsString="0" containsNumber="1" containsInteger="1" minValue="510" maxValue="1782"/>
    </cacheField>
    <cacheField name="make" numFmtId="0">
      <sharedItems containsSemiMixedTypes="0" containsString="0" containsNumber="1" containsInteger="1" minValue="585" maxValue="1430"/>
    </cacheField>
    <cacheField name="overtime" numFmtId="0">
      <sharedItems containsSemiMixedTypes="0" containsString="0" containsNumber="1" containsInteger="1" minValue="0" maxValue="81"/>
    </cacheField>
    <cacheField name="subcontracting" numFmtId="0">
      <sharedItems containsSemiMixedTypes="0" containsString="0" containsNumber="1" containsInteger="1" minValue="0" maxValue="300"/>
    </cacheField>
    <cacheField name="inventory" numFmtId="0">
      <sharedItems containsSemiMixedTypes="0" containsString="0" containsNumber="1" containsInteger="1" minValue="0" maxValue="110"/>
    </cacheField>
    <cacheField name="backlog" numFmtId="0">
      <sharedItems containsSemiMixedTypes="0" containsString="0" containsNumber="1" containsInteger="1" minValue="0" maxValue="0"/>
    </cacheField>
    <cacheField name="nonproduction" numFmtId="0">
      <sharedItems containsSemiMixedTypes="0" containsString="0" containsNumber="1" containsInteger="1" minValue="0" maxValue="0"/>
    </cacheField>
    <cacheField name="rt_capacity" numFmtId="0">
      <sharedItems containsSemiMixedTypes="0" containsString="0" containsNumber="1" containsInteger="1" minValue="585" maxValue="1430"/>
    </cacheField>
    <cacheField name="max_capacity" numFmtId="0">
      <sharedItems containsSemiMixedTypes="0" containsString="0" containsNumber="1" containsInteger="1" minValue="1105" maxValue="2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leb Zakhodyakin" refreshedDate="42648.559322453701" createdVersion="6" refreshedVersion="6" minRefreshableVersion="3" recordCount="1">
  <cacheSource type="worksheet">
    <worksheetSource name="objective_report"/>
  </cacheSource>
  <cacheFields count="7">
    <cacheField name="run" numFmtId="0">
      <sharedItems containsSemiMixedTypes="0" containsString="0" containsNumber="1" containsInteger="1" minValue="1" maxValue="1"/>
    </cacheField>
    <cacheField name="TotalCost" numFmtId="0">
      <sharedItems containsSemiMixedTypes="0" containsString="0" containsNumber="1" containsInteger="1" minValue="1169940" maxValue="1169940"/>
    </cacheField>
    <cacheField name="total_ot_cost" numFmtId="0">
      <sharedItems containsSemiMixedTypes="0" containsString="0" containsNumber="1" containsInteger="1" minValue="56700" maxValue="56700"/>
    </cacheField>
    <cacheField name="total_sub_cost" numFmtId="0">
      <sharedItems containsSemiMixedTypes="0" containsString="0" containsNumber="1" containsInteger="1" minValue="1038000" maxValue="1038000"/>
    </cacheField>
    <cacheField name="total_np_cost" numFmtId="0">
      <sharedItems containsSemiMixedTypes="0" containsString="0" containsNumber="1" containsInteger="1" minValue="0" maxValue="0"/>
    </cacheField>
    <cacheField name="total_inv_cost" numFmtId="0">
      <sharedItems containsSemiMixedTypes="0" containsString="0" containsNumber="1" containsInteger="1" minValue="75240" maxValue="75240"/>
    </cacheField>
    <cacheField name="total_backlog_cost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n v="1475"/>
    <n v="1475"/>
    <n v="1235"/>
    <n v="0"/>
    <n v="140"/>
    <n v="0"/>
    <n v="0"/>
    <n v="0"/>
    <n v="1235"/>
    <n v="1560"/>
  </r>
  <r>
    <x v="1"/>
    <n v="510"/>
    <n v="510"/>
    <n v="585"/>
    <n v="0"/>
    <n v="0"/>
    <n v="75"/>
    <n v="0"/>
    <n v="0"/>
    <n v="585"/>
    <n v="1105"/>
  </r>
  <r>
    <x v="2"/>
    <n v="1655"/>
    <n v="1655"/>
    <n v="1365"/>
    <n v="0"/>
    <n v="215"/>
    <n v="0"/>
    <n v="0"/>
    <n v="0"/>
    <n v="1365"/>
    <n v="1950"/>
  </r>
  <r>
    <x v="3"/>
    <n v="1320"/>
    <n v="1320"/>
    <n v="1430"/>
    <n v="0"/>
    <n v="0"/>
    <n v="110"/>
    <n v="0"/>
    <n v="0"/>
    <n v="1430"/>
    <n v="2015"/>
  </r>
  <r>
    <x v="4"/>
    <n v="1757"/>
    <n v="1757"/>
    <n v="1365"/>
    <n v="0"/>
    <n v="282"/>
    <n v="0"/>
    <n v="0"/>
    <n v="0"/>
    <n v="1365"/>
    <n v="1950"/>
  </r>
  <r>
    <x v="5"/>
    <n v="1210"/>
    <n v="1210"/>
    <n v="1040"/>
    <n v="0"/>
    <n v="170"/>
    <n v="0"/>
    <n v="0"/>
    <n v="0"/>
    <n v="1040"/>
    <n v="1560"/>
  </r>
  <r>
    <x v="6"/>
    <n v="1603"/>
    <n v="1603"/>
    <n v="1430"/>
    <n v="0"/>
    <n v="173"/>
    <n v="0"/>
    <n v="0"/>
    <n v="0"/>
    <n v="1430"/>
    <n v="1950"/>
  </r>
  <r>
    <x v="7"/>
    <n v="1475"/>
    <n v="1475"/>
    <n v="1300"/>
    <n v="0"/>
    <n v="175"/>
    <n v="0"/>
    <n v="0"/>
    <n v="0"/>
    <n v="1300"/>
    <n v="1820"/>
  </r>
  <r>
    <x v="8"/>
    <n v="1320"/>
    <n v="1320"/>
    <n v="1430"/>
    <n v="0"/>
    <n v="0"/>
    <n v="110"/>
    <n v="0"/>
    <n v="0"/>
    <n v="1430"/>
    <n v="2015"/>
  </r>
  <r>
    <x v="9"/>
    <n v="1685"/>
    <n v="1685"/>
    <n v="1300"/>
    <n v="0"/>
    <n v="275"/>
    <n v="0"/>
    <n v="0"/>
    <n v="0"/>
    <n v="1300"/>
    <n v="1950"/>
  </r>
  <r>
    <x v="10"/>
    <n v="1199"/>
    <n v="1199"/>
    <n v="1300"/>
    <n v="0"/>
    <n v="0"/>
    <n v="101"/>
    <n v="0"/>
    <n v="0"/>
    <n v="1300"/>
    <n v="1300"/>
  </r>
  <r>
    <x v="11"/>
    <n v="1782"/>
    <n v="1782"/>
    <n v="1300"/>
    <n v="81"/>
    <n v="300"/>
    <n v="0"/>
    <n v="0"/>
    <n v="0"/>
    <n v="1300"/>
    <n v="195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">
  <r>
    <n v="1"/>
    <n v="1169940"/>
    <n v="56700"/>
    <n v="1038000"/>
    <n v="0"/>
    <n v="7524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3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A1:G14" firstHeaderRow="0" firstDataRow="1" firstDataCol="1"/>
  <pivotFields count="11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 defaultSubtotal="0"/>
    <pivotField dataField="1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make[t]" fld="3" baseField="0" baseItem="708502640"/>
    <dataField name="overtime[t]" fld="4" baseField="0" baseItem="708502640"/>
    <dataField name="subcontracting[t]" fld="5" baseField="0" baseItem="708502640"/>
    <dataField name="nonproduction[t]" fld="8" baseField="0" baseItem="708502640"/>
    <dataField name="rt capacity[t]" fld="9" baseField="0" baseItem="708502640"/>
    <dataField name="max_capacity[t]" fld="10" baseField="0" baseItem="5"/>
  </dataFields>
  <chartFormats count="6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2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2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2" cacheId="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A1:E15" firstHeaderRow="1" firstDataRow="2" firstDataCol="1"/>
  <pivotFields count="11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 defaultSubtotal="0"/>
    <pivotField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Demand[t]" fld="1" baseField="0" baseItem="0"/>
    <dataField name="Sales[t]" fld="2" baseField="0" baseItem="0"/>
    <dataField name="Backlog[t]" fld="7" baseField="0" baseItem="0"/>
    <dataField name="inventory[t]" fld="6" baseField="0" baseItem="0"/>
  </dataFields>
  <chartFormats count="4">
    <chartFormat chart="1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 таблица1" cacheId="5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2">
  <location ref="A1:E2" firstHeaderRow="0" firstDataRow="1" firstDataCol="0"/>
  <pivotFields count="7"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Overtime Cost" fld="2" baseField="0" baseItem="1943723600"/>
    <dataField name="Subcontracting Cost" fld="3" baseField="0" baseItem="1943723600"/>
    <dataField name="Non-Production Cost" fld="4" baseField="0" baseItem="1943723600"/>
    <dataField name="Inventory Cost" fld="5" baseField="0" baseItem="1943723600"/>
    <dataField name="Backlog Cost" fld="6" baseField="0" baseItem="1943723600"/>
  </dataFields>
  <chartFormats count="5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2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2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workbookViewId="0">
      <selection activeCell="B11" sqref="B11"/>
    </sheetView>
  </sheetViews>
  <sheetFormatPr defaultRowHeight="12.75" x14ac:dyDescent="0.2"/>
  <cols>
    <col min="1" max="1" width="28" customWidth="1"/>
    <col min="2" max="2" width="15.85546875" style="9" customWidth="1"/>
  </cols>
  <sheetData>
    <row r="1" spans="1:3" x14ac:dyDescent="0.2">
      <c r="A1" s="7" t="s">
        <v>3</v>
      </c>
      <c r="B1" s="8" t="s">
        <v>4</v>
      </c>
      <c r="C1" s="7" t="s">
        <v>17</v>
      </c>
    </row>
    <row r="2" spans="1:3" x14ac:dyDescent="0.2">
      <c r="A2" t="s">
        <v>16</v>
      </c>
      <c r="B2" s="10">
        <v>190</v>
      </c>
      <c r="C2" t="s">
        <v>18</v>
      </c>
    </row>
    <row r="3" spans="1:3" x14ac:dyDescent="0.2">
      <c r="A3" t="s">
        <v>14</v>
      </c>
      <c r="B3" s="10">
        <v>700</v>
      </c>
      <c r="C3" t="s">
        <v>18</v>
      </c>
    </row>
    <row r="4" spans="1:3" x14ac:dyDescent="0.2">
      <c r="A4" t="s">
        <v>15</v>
      </c>
      <c r="B4" s="10">
        <v>1300</v>
      </c>
      <c r="C4" t="s">
        <v>18</v>
      </c>
    </row>
    <row r="5" spans="1:3" x14ac:dyDescent="0.2">
      <c r="A5" t="s">
        <v>11</v>
      </c>
      <c r="B5" s="10">
        <v>2300</v>
      </c>
      <c r="C5" t="s">
        <v>18</v>
      </c>
    </row>
    <row r="6" spans="1:3" x14ac:dyDescent="0.2">
      <c r="A6" t="s">
        <v>12</v>
      </c>
      <c r="B6" s="10">
        <v>600</v>
      </c>
      <c r="C6" t="s">
        <v>18</v>
      </c>
    </row>
    <row r="7" spans="1:3" x14ac:dyDescent="0.2">
      <c r="A7" t="s">
        <v>13</v>
      </c>
      <c r="B7" s="10">
        <v>100</v>
      </c>
      <c r="C7" t="s">
        <v>1</v>
      </c>
    </row>
    <row r="8" spans="1:3" x14ac:dyDescent="0.2">
      <c r="A8" t="s">
        <v>0</v>
      </c>
      <c r="B8" s="10">
        <v>65</v>
      </c>
      <c r="C8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6"/>
  <sheetViews>
    <sheetView workbookViewId="0">
      <selection activeCell="A16" sqref="A16"/>
    </sheetView>
  </sheetViews>
  <sheetFormatPr defaultRowHeight="12.75" x14ac:dyDescent="0.2"/>
  <cols>
    <col min="1" max="1" width="12.42578125" customWidth="1"/>
    <col min="2" max="2" width="14" customWidth="1"/>
    <col min="3" max="3" width="15.140625" customWidth="1"/>
    <col min="4" max="4" width="20.140625" customWidth="1"/>
    <col min="5" max="5" width="23.85546875" customWidth="1"/>
    <col min="6" max="6" width="20" customWidth="1"/>
  </cols>
  <sheetData>
    <row r="1" spans="1:6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">
      <c r="A2">
        <v>1</v>
      </c>
      <c r="B2">
        <v>1475</v>
      </c>
      <c r="C2">
        <v>19</v>
      </c>
      <c r="D2">
        <v>24</v>
      </c>
      <c r="E2">
        <v>300</v>
      </c>
      <c r="F2">
        <v>195</v>
      </c>
    </row>
    <row r="3" spans="1:6" x14ac:dyDescent="0.2">
      <c r="A3">
        <v>2</v>
      </c>
      <c r="B3">
        <v>510</v>
      </c>
      <c r="C3">
        <v>9</v>
      </c>
      <c r="D3">
        <v>17</v>
      </c>
      <c r="E3">
        <f t="shared" ref="E3:E12" si="0">E2</f>
        <v>300</v>
      </c>
      <c r="F3">
        <f t="shared" ref="F3:F12" si="1">F2</f>
        <v>195</v>
      </c>
    </row>
    <row r="4" spans="1:6" x14ac:dyDescent="0.2">
      <c r="A4">
        <v>3</v>
      </c>
      <c r="B4">
        <v>1655</v>
      </c>
      <c r="C4">
        <v>21</v>
      </c>
      <c r="D4">
        <v>30</v>
      </c>
      <c r="E4">
        <f t="shared" si="0"/>
        <v>300</v>
      </c>
      <c r="F4">
        <f t="shared" si="1"/>
        <v>195</v>
      </c>
    </row>
    <row r="5" spans="1:6" x14ac:dyDescent="0.2">
      <c r="A5">
        <v>4</v>
      </c>
      <c r="B5">
        <v>1320</v>
      </c>
      <c r="C5">
        <v>22</v>
      </c>
      <c r="D5">
        <v>31</v>
      </c>
      <c r="E5">
        <f t="shared" si="0"/>
        <v>300</v>
      </c>
      <c r="F5">
        <f t="shared" si="1"/>
        <v>195</v>
      </c>
    </row>
    <row r="6" spans="1:6" x14ac:dyDescent="0.2">
      <c r="A6">
        <v>5</v>
      </c>
      <c r="B6">
        <v>1757</v>
      </c>
      <c r="C6">
        <v>21</v>
      </c>
      <c r="D6">
        <v>30</v>
      </c>
      <c r="E6">
        <f t="shared" si="0"/>
        <v>300</v>
      </c>
      <c r="F6">
        <f t="shared" si="1"/>
        <v>195</v>
      </c>
    </row>
    <row r="7" spans="1:6" x14ac:dyDescent="0.2">
      <c r="A7">
        <v>6</v>
      </c>
      <c r="B7">
        <v>1210</v>
      </c>
      <c r="C7">
        <v>16</v>
      </c>
      <c r="D7">
        <v>24</v>
      </c>
      <c r="E7">
        <f t="shared" si="0"/>
        <v>300</v>
      </c>
      <c r="F7">
        <f t="shared" si="1"/>
        <v>195</v>
      </c>
    </row>
    <row r="8" spans="1:6" x14ac:dyDescent="0.2">
      <c r="A8">
        <v>7</v>
      </c>
      <c r="B8">
        <v>1603</v>
      </c>
      <c r="C8">
        <v>22</v>
      </c>
      <c r="D8">
        <v>30</v>
      </c>
      <c r="E8">
        <f t="shared" si="0"/>
        <v>300</v>
      </c>
      <c r="F8">
        <f t="shared" si="1"/>
        <v>195</v>
      </c>
    </row>
    <row r="9" spans="1:6" x14ac:dyDescent="0.2">
      <c r="A9">
        <v>8</v>
      </c>
      <c r="B9">
        <v>1475</v>
      </c>
      <c r="C9">
        <v>20</v>
      </c>
      <c r="D9">
        <v>28</v>
      </c>
      <c r="E9">
        <f t="shared" si="0"/>
        <v>300</v>
      </c>
      <c r="F9">
        <f t="shared" si="1"/>
        <v>195</v>
      </c>
    </row>
    <row r="10" spans="1:6" x14ac:dyDescent="0.2">
      <c r="A10">
        <v>9</v>
      </c>
      <c r="B10">
        <v>1320</v>
      </c>
      <c r="C10">
        <v>22</v>
      </c>
      <c r="D10">
        <v>31</v>
      </c>
      <c r="E10">
        <f t="shared" si="0"/>
        <v>300</v>
      </c>
      <c r="F10">
        <f t="shared" si="1"/>
        <v>195</v>
      </c>
    </row>
    <row r="11" spans="1:6" x14ac:dyDescent="0.2">
      <c r="A11">
        <v>10</v>
      </c>
      <c r="B11">
        <v>1685</v>
      </c>
      <c r="C11">
        <v>20</v>
      </c>
      <c r="D11">
        <v>30</v>
      </c>
      <c r="E11">
        <f t="shared" si="0"/>
        <v>300</v>
      </c>
      <c r="F11">
        <f t="shared" si="1"/>
        <v>195</v>
      </c>
    </row>
    <row r="12" spans="1:6" x14ac:dyDescent="0.2">
      <c r="A12">
        <v>11</v>
      </c>
      <c r="B12">
        <v>1199</v>
      </c>
      <c r="C12">
        <v>20</v>
      </c>
      <c r="D12">
        <v>20</v>
      </c>
      <c r="E12">
        <f t="shared" si="0"/>
        <v>300</v>
      </c>
      <c r="F12">
        <f t="shared" si="1"/>
        <v>195</v>
      </c>
    </row>
    <row r="13" spans="1:6" x14ac:dyDescent="0.2">
      <c r="A13">
        <v>12</v>
      </c>
      <c r="B13">
        <v>1782</v>
      </c>
      <c r="C13">
        <v>20</v>
      </c>
      <c r="D13">
        <v>30</v>
      </c>
      <c r="E13">
        <f>'input data'!E12</f>
        <v>300</v>
      </c>
      <c r="F13">
        <f>'input data'!F12</f>
        <v>195</v>
      </c>
    </row>
    <row r="16" spans="1:6" x14ac:dyDescent="0.2">
      <c r="A16" s="5" t="s">
        <v>41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E7" sqref="E7"/>
    </sheetView>
  </sheetViews>
  <sheetFormatPr defaultRowHeight="12.75" x14ac:dyDescent="0.2"/>
  <cols>
    <col min="1" max="1" width="18.28515625" customWidth="1"/>
    <col min="2" max="2" width="7.7109375" bestFit="1" customWidth="1"/>
    <col min="3" max="3" width="10.7109375" bestFit="1" customWidth="1"/>
    <col min="4" max="4" width="16.140625" bestFit="1" customWidth="1"/>
    <col min="5" max="5" width="16" bestFit="1" customWidth="1"/>
    <col min="6" max="6" width="12.140625" bestFit="1" customWidth="1"/>
    <col min="7" max="7" width="15.42578125" bestFit="1" customWidth="1"/>
  </cols>
  <sheetData>
    <row r="1" spans="1:7" x14ac:dyDescent="0.2">
      <c r="A1" s="2" t="s">
        <v>19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40</v>
      </c>
    </row>
    <row r="2" spans="1:7" x14ac:dyDescent="0.2">
      <c r="A2" s="3">
        <v>1</v>
      </c>
      <c r="B2" s="4">
        <v>1235</v>
      </c>
      <c r="C2" s="4">
        <v>0</v>
      </c>
      <c r="D2" s="4">
        <v>140</v>
      </c>
      <c r="E2" s="4">
        <v>0</v>
      </c>
      <c r="F2" s="4">
        <v>1235</v>
      </c>
      <c r="G2" s="4">
        <v>1560</v>
      </c>
    </row>
    <row r="3" spans="1:7" x14ac:dyDescent="0.2">
      <c r="A3" s="3">
        <v>2</v>
      </c>
      <c r="B3" s="4">
        <v>585</v>
      </c>
      <c r="C3" s="4">
        <v>0</v>
      </c>
      <c r="D3" s="4">
        <v>0</v>
      </c>
      <c r="E3" s="4">
        <v>0</v>
      </c>
      <c r="F3" s="4">
        <v>585</v>
      </c>
      <c r="G3" s="4">
        <v>1105</v>
      </c>
    </row>
    <row r="4" spans="1:7" x14ac:dyDescent="0.2">
      <c r="A4" s="3">
        <v>3</v>
      </c>
      <c r="B4" s="4">
        <v>1365</v>
      </c>
      <c r="C4" s="4">
        <v>0</v>
      </c>
      <c r="D4" s="4">
        <v>215</v>
      </c>
      <c r="E4" s="4">
        <v>0</v>
      </c>
      <c r="F4" s="4">
        <v>1365</v>
      </c>
      <c r="G4" s="4">
        <v>1950</v>
      </c>
    </row>
    <row r="5" spans="1:7" x14ac:dyDescent="0.2">
      <c r="A5" s="3">
        <v>4</v>
      </c>
      <c r="B5" s="4">
        <v>1430</v>
      </c>
      <c r="C5" s="4">
        <v>0</v>
      </c>
      <c r="D5" s="4">
        <v>0</v>
      </c>
      <c r="E5" s="4">
        <v>0</v>
      </c>
      <c r="F5" s="4">
        <v>1430</v>
      </c>
      <c r="G5" s="4">
        <v>2015</v>
      </c>
    </row>
    <row r="6" spans="1:7" x14ac:dyDescent="0.2">
      <c r="A6" s="3">
        <v>5</v>
      </c>
      <c r="B6" s="4">
        <v>1365</v>
      </c>
      <c r="C6" s="4">
        <v>0</v>
      </c>
      <c r="D6" s="4">
        <v>282</v>
      </c>
      <c r="E6" s="4">
        <v>0</v>
      </c>
      <c r="F6" s="4">
        <v>1365</v>
      </c>
      <c r="G6" s="4">
        <v>1950</v>
      </c>
    </row>
    <row r="7" spans="1:7" x14ac:dyDescent="0.2">
      <c r="A7" s="3">
        <v>6</v>
      </c>
      <c r="B7" s="4">
        <v>1040</v>
      </c>
      <c r="C7" s="4">
        <v>0</v>
      </c>
      <c r="D7" s="4">
        <v>170</v>
      </c>
      <c r="E7" s="4">
        <v>0</v>
      </c>
      <c r="F7" s="4">
        <v>1040</v>
      </c>
      <c r="G7" s="4">
        <v>1560</v>
      </c>
    </row>
    <row r="8" spans="1:7" x14ac:dyDescent="0.2">
      <c r="A8" s="3">
        <v>7</v>
      </c>
      <c r="B8" s="4">
        <v>1430</v>
      </c>
      <c r="C8" s="4">
        <v>0</v>
      </c>
      <c r="D8" s="4">
        <v>173</v>
      </c>
      <c r="E8" s="4">
        <v>0</v>
      </c>
      <c r="F8" s="4">
        <v>1430</v>
      </c>
      <c r="G8" s="4">
        <v>1950</v>
      </c>
    </row>
    <row r="9" spans="1:7" x14ac:dyDescent="0.2">
      <c r="A9" s="3">
        <v>8</v>
      </c>
      <c r="B9" s="4">
        <v>1300</v>
      </c>
      <c r="C9" s="4">
        <v>0</v>
      </c>
      <c r="D9" s="4">
        <v>175</v>
      </c>
      <c r="E9" s="4">
        <v>0</v>
      </c>
      <c r="F9" s="4">
        <v>1300</v>
      </c>
      <c r="G9" s="4">
        <v>1820</v>
      </c>
    </row>
    <row r="10" spans="1:7" x14ac:dyDescent="0.2">
      <c r="A10" s="3">
        <v>9</v>
      </c>
      <c r="B10" s="4">
        <v>1430</v>
      </c>
      <c r="C10" s="4">
        <v>0</v>
      </c>
      <c r="D10" s="4">
        <v>0</v>
      </c>
      <c r="E10" s="4">
        <v>0</v>
      </c>
      <c r="F10" s="4">
        <v>1430</v>
      </c>
      <c r="G10" s="4">
        <v>2015</v>
      </c>
    </row>
    <row r="11" spans="1:7" x14ac:dyDescent="0.2">
      <c r="A11" s="3">
        <v>10</v>
      </c>
      <c r="B11" s="4">
        <v>1300</v>
      </c>
      <c r="C11" s="4">
        <v>0</v>
      </c>
      <c r="D11" s="4">
        <v>275</v>
      </c>
      <c r="E11" s="4">
        <v>0</v>
      </c>
      <c r="F11" s="4">
        <v>1300</v>
      </c>
      <c r="G11" s="4">
        <v>1950</v>
      </c>
    </row>
    <row r="12" spans="1:7" x14ac:dyDescent="0.2">
      <c r="A12" s="3">
        <v>11</v>
      </c>
      <c r="B12" s="4">
        <v>1300</v>
      </c>
      <c r="C12" s="4">
        <v>0</v>
      </c>
      <c r="D12" s="4">
        <v>0</v>
      </c>
      <c r="E12" s="4">
        <v>0</v>
      </c>
      <c r="F12" s="4">
        <v>1300</v>
      </c>
      <c r="G12" s="4">
        <v>1300</v>
      </c>
    </row>
    <row r="13" spans="1:7" x14ac:dyDescent="0.2">
      <c r="A13" s="3">
        <v>12</v>
      </c>
      <c r="B13" s="4">
        <v>1300</v>
      </c>
      <c r="C13" s="4">
        <v>81</v>
      </c>
      <c r="D13" s="4">
        <v>300</v>
      </c>
      <c r="E13" s="4">
        <v>0</v>
      </c>
      <c r="F13" s="4">
        <v>1300</v>
      </c>
      <c r="G13" s="4">
        <v>1950</v>
      </c>
    </row>
    <row r="14" spans="1:7" x14ac:dyDescent="0.2">
      <c r="A14" s="3" t="s">
        <v>20</v>
      </c>
      <c r="B14" s="4">
        <v>15080</v>
      </c>
      <c r="C14" s="4">
        <v>81</v>
      </c>
      <c r="D14" s="4">
        <v>1730</v>
      </c>
      <c r="E14" s="4">
        <v>0</v>
      </c>
      <c r="F14" s="4">
        <v>15080</v>
      </c>
      <c r="G14" s="4">
        <v>21125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K13"/>
  <sheetViews>
    <sheetView workbookViewId="0" rightToLeft="false">
      <selection activeCell="G29" sqref="G29"/>
    </sheetView>
  </sheetViews>
  <sheetFormatPr defaultRowHeight="12.75" x14ac:dyDescent="0.2"/>
  <sheetData>
    <row spans="1:11" x14ac:dyDescent="0.2" outlineLevel="0" r="1">
      <c r="A1" s="1" t="inlineStr">
        <is>
          <t>period</t>
        </is>
      </c>
      <c r="B1" s="1" t="inlineStr">
        <is>
          <t>demand</t>
        </is>
      </c>
      <c r="C1" s="1" t="inlineStr">
        <is>
          <t>sales</t>
        </is>
      </c>
      <c r="D1" s="1" t="inlineStr">
        <is>
          <t>make</t>
        </is>
      </c>
      <c r="E1" s="1" t="inlineStr">
        <is>
          <t>overtime</t>
        </is>
      </c>
      <c r="F1" s="1" t="inlineStr">
        <is>
          <t>subcontracting</t>
        </is>
      </c>
      <c r="G1" s="1" t="inlineStr">
        <is>
          <t>inventory</t>
        </is>
      </c>
      <c r="H1" s="1" t="inlineStr">
        <is>
          <t>backlog</t>
        </is>
      </c>
      <c r="I1" s="1" t="inlineStr">
        <is>
          <t>nonproduction</t>
        </is>
      </c>
      <c r="J1" s="6" t="inlineStr">
        <is>
          <t>rt_capacity</t>
        </is>
      </c>
      <c r="K1" s="6" t="inlineStr">
        <is>
          <t>max_capacity</t>
        </is>
      </c>
    </row>
    <row spans="1:11" x14ac:dyDescent="0.2" outlineLevel="0" r="2">
      <c r="A2" s="1">
        <v>1</v>
      </c>
      <c r="B2" s="1">
        <v>1475</v>
      </c>
      <c r="C2" s="1">
        <v>1475</v>
      </c>
      <c r="D2" s="1">
        <v>1235</v>
      </c>
      <c r="E2" s="1">
        <v>0</v>
      </c>
      <c r="F2" s="1">
        <v>140</v>
      </c>
      <c r="G2" s="1">
        <v>0</v>
      </c>
      <c r="H2" s="1">
        <v>0</v>
      </c>
      <c r="I2" s="1">
        <v>0</v>
      </c>
      <c r="J2" s="4">
        <v>1235</v>
      </c>
      <c r="K2" s="6">
        <v>1560</v>
      </c>
    </row>
    <row spans="1:11" x14ac:dyDescent="0.2" outlineLevel="0" r="3">
      <c r="A3" s="1">
        <v>2</v>
      </c>
      <c r="B3" s="1">
        <v>510</v>
      </c>
      <c r="C3" s="1">
        <v>510</v>
      </c>
      <c r="D3" s="1">
        <v>585</v>
      </c>
      <c r="E3" s="1">
        <v>0</v>
      </c>
      <c r="F3" s="1">
        <v>0</v>
      </c>
      <c r="G3" s="1">
        <v>75</v>
      </c>
      <c r="H3" s="1">
        <v>0</v>
      </c>
      <c r="I3" s="1">
        <v>0</v>
      </c>
      <c r="J3" s="4">
        <v>585</v>
      </c>
      <c r="K3" s="6">
        <v>1105</v>
      </c>
    </row>
    <row spans="1:11" x14ac:dyDescent="0.2" outlineLevel="0" r="4">
      <c r="A4" s="1">
        <v>3</v>
      </c>
      <c r="B4" s="1">
        <v>1655</v>
      </c>
      <c r="C4" s="1">
        <v>1655</v>
      </c>
      <c r="D4" s="1">
        <v>1365</v>
      </c>
      <c r="E4" s="1">
        <v>0</v>
      </c>
      <c r="F4" s="1">
        <v>215</v>
      </c>
      <c r="G4" s="1">
        <v>0</v>
      </c>
      <c r="H4" s="1">
        <v>0</v>
      </c>
      <c r="I4" s="1">
        <v>0</v>
      </c>
      <c r="J4" s="4">
        <v>1365</v>
      </c>
      <c r="K4" s="6">
        <v>1950</v>
      </c>
    </row>
    <row spans="1:11" x14ac:dyDescent="0.2" outlineLevel="0" r="5">
      <c r="A5" s="1">
        <v>4</v>
      </c>
      <c r="B5" s="1">
        <v>1320</v>
      </c>
      <c r="C5" s="1">
        <v>1320</v>
      </c>
      <c r="D5" s="1">
        <v>1430</v>
      </c>
      <c r="E5" s="1">
        <v>0</v>
      </c>
      <c r="F5" s="1">
        <v>0</v>
      </c>
      <c r="G5" s="1">
        <v>110</v>
      </c>
      <c r="H5" s="1">
        <v>0</v>
      </c>
      <c r="I5" s="1">
        <v>0</v>
      </c>
      <c r="J5" s="4">
        <v>1430</v>
      </c>
      <c r="K5" s="6">
        <v>2015</v>
      </c>
    </row>
    <row spans="1:11" x14ac:dyDescent="0.2" outlineLevel="0" r="6">
      <c r="A6" s="1">
        <v>5</v>
      </c>
      <c r="B6" s="1">
        <v>1757</v>
      </c>
      <c r="C6" s="1">
        <v>1757</v>
      </c>
      <c r="D6" s="1">
        <v>1365</v>
      </c>
      <c r="E6" s="1">
        <v>0</v>
      </c>
      <c r="F6" s="1">
        <v>282</v>
      </c>
      <c r="G6" s="1">
        <v>0</v>
      </c>
      <c r="H6" s="1">
        <v>0</v>
      </c>
      <c r="I6" s="1">
        <v>0</v>
      </c>
      <c r="J6" s="4">
        <v>1365</v>
      </c>
      <c r="K6" s="6">
        <v>1950</v>
      </c>
    </row>
    <row spans="1:11" x14ac:dyDescent="0.2" outlineLevel="0" r="7">
      <c r="A7" s="1">
        <v>6</v>
      </c>
      <c r="B7" s="1">
        <v>1210</v>
      </c>
      <c r="C7" s="1">
        <v>1210</v>
      </c>
      <c r="D7" s="1">
        <v>1040</v>
      </c>
      <c r="E7" s="1">
        <v>0</v>
      </c>
      <c r="F7" s="1">
        <v>170</v>
      </c>
      <c r="G7" s="1">
        <v>0</v>
      </c>
      <c r="H7" s="1">
        <v>0</v>
      </c>
      <c r="I7" s="1">
        <v>0</v>
      </c>
      <c r="J7" s="4">
        <v>1040</v>
      </c>
      <c r="K7" s="6">
        <v>1560</v>
      </c>
    </row>
    <row spans="1:11" x14ac:dyDescent="0.2" outlineLevel="0" r="8">
      <c r="A8" s="1">
        <v>7</v>
      </c>
      <c r="B8" s="1">
        <v>1603</v>
      </c>
      <c r="C8" s="1">
        <v>1603</v>
      </c>
      <c r="D8" s="1">
        <v>1430</v>
      </c>
      <c r="E8" s="1">
        <v>0</v>
      </c>
      <c r="F8" s="1">
        <v>173</v>
      </c>
      <c r="G8" s="1">
        <v>0</v>
      </c>
      <c r="H8" s="1">
        <v>0</v>
      </c>
      <c r="I8" s="1">
        <v>0</v>
      </c>
      <c r="J8" s="4">
        <v>1430</v>
      </c>
      <c r="K8" s="6">
        <v>1950</v>
      </c>
    </row>
    <row spans="1:11" x14ac:dyDescent="0.2" outlineLevel="0" r="9">
      <c r="A9" s="1">
        <v>8</v>
      </c>
      <c r="B9" s="1">
        <v>1475</v>
      </c>
      <c r="C9" s="1">
        <v>1475</v>
      </c>
      <c r="D9" s="1">
        <v>1300</v>
      </c>
      <c r="E9" s="1">
        <v>0</v>
      </c>
      <c r="F9" s="1">
        <v>175</v>
      </c>
      <c r="G9" s="1">
        <v>0</v>
      </c>
      <c r="H9" s="1">
        <v>0</v>
      </c>
      <c r="I9" s="1">
        <v>0</v>
      </c>
      <c r="J9" s="4">
        <v>1300</v>
      </c>
      <c r="K9" s="6">
        <v>1820</v>
      </c>
    </row>
    <row spans="1:11" x14ac:dyDescent="0.2" outlineLevel="0" r="10">
      <c r="A10" s="1">
        <v>9</v>
      </c>
      <c r="B10" s="1">
        <v>1320</v>
      </c>
      <c r="C10" s="1">
        <v>1320</v>
      </c>
      <c r="D10" s="1">
        <v>1430</v>
      </c>
      <c r="E10" s="1">
        <v>0</v>
      </c>
      <c r="F10" s="1">
        <v>0</v>
      </c>
      <c r="G10" s="1">
        <v>110</v>
      </c>
      <c r="H10" s="1">
        <v>0</v>
      </c>
      <c r="I10" s="1">
        <v>0</v>
      </c>
      <c r="J10" s="4">
        <v>1430</v>
      </c>
      <c r="K10" s="6">
        <v>2015</v>
      </c>
    </row>
    <row spans="1:11" x14ac:dyDescent="0.2" outlineLevel="0" r="11">
      <c r="A11" s="1">
        <v>10</v>
      </c>
      <c r="B11" s="1">
        <v>1685</v>
      </c>
      <c r="C11" s="1">
        <v>1685</v>
      </c>
      <c r="D11" s="1">
        <v>1300</v>
      </c>
      <c r="E11" s="1">
        <v>0</v>
      </c>
      <c r="F11" s="1">
        <v>275</v>
      </c>
      <c r="G11" s="1">
        <v>0</v>
      </c>
      <c r="H11" s="1">
        <v>0</v>
      </c>
      <c r="I11" s="1">
        <v>0</v>
      </c>
      <c r="J11" s="4">
        <v>1300</v>
      </c>
      <c r="K11" s="6">
        <v>1950</v>
      </c>
    </row>
    <row spans="1:11" x14ac:dyDescent="0.2" outlineLevel="0" r="12">
      <c r="A12" s="1">
        <v>11</v>
      </c>
      <c r="B12" s="1">
        <v>1199</v>
      </c>
      <c r="C12" s="1">
        <v>1199</v>
      </c>
      <c r="D12" s="1">
        <v>1300</v>
      </c>
      <c r="E12" s="1">
        <v>0</v>
      </c>
      <c r="F12" s="1">
        <v>0</v>
      </c>
      <c r="G12" s="1">
        <v>101</v>
      </c>
      <c r="H12" s="1">
        <v>0</v>
      </c>
      <c r="I12" s="1">
        <v>0</v>
      </c>
      <c r="J12" s="4">
        <v>1300</v>
      </c>
      <c r="K12" s="6">
        <v>1300</v>
      </c>
    </row>
    <row spans="1:11" x14ac:dyDescent="0.2" outlineLevel="0" r="13">
      <c r="A13" s="1">
        <v>12</v>
      </c>
      <c r="B13" s="1">
        <v>1782</v>
      </c>
      <c r="C13" s="1">
        <v>1782</v>
      </c>
      <c r="D13" s="1">
        <v>1300</v>
      </c>
      <c r="E13" s="1">
        <v>81</v>
      </c>
      <c r="F13" s="1">
        <v>300</v>
      </c>
      <c r="G13" s="1">
        <v>0</v>
      </c>
      <c r="H13" s="1">
        <v>0</v>
      </c>
      <c r="I13" s="1">
        <v>0</v>
      </c>
      <c r="J13" s="6">
        <v>1300</v>
      </c>
      <c r="K13" s="6">
        <v>1950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2.75" x14ac:dyDescent="0.2"/>
  <cols>
    <col min="1" max="1" width="18.28515625" customWidth="1"/>
    <col min="2" max="2" width="10.28515625" customWidth="1"/>
    <col min="3" max="3" width="7.7109375" customWidth="1"/>
    <col min="4" max="4" width="10" customWidth="1"/>
    <col min="5" max="5" width="11.140625" bestFit="1" customWidth="1"/>
  </cols>
  <sheetData>
    <row r="1" spans="1:5" x14ac:dyDescent="0.2">
      <c r="B1" s="2" t="s">
        <v>29</v>
      </c>
    </row>
    <row r="2" spans="1:5" x14ac:dyDescent="0.2">
      <c r="A2" s="2" t="s">
        <v>19</v>
      </c>
      <c r="B2" t="s">
        <v>21</v>
      </c>
      <c r="C2" t="s">
        <v>22</v>
      </c>
      <c r="D2" t="s">
        <v>23</v>
      </c>
      <c r="E2" t="s">
        <v>30</v>
      </c>
    </row>
    <row r="3" spans="1:5" x14ac:dyDescent="0.2">
      <c r="A3" s="3">
        <v>1</v>
      </c>
      <c r="B3" s="4">
        <v>1475</v>
      </c>
      <c r="C3" s="4">
        <v>1475</v>
      </c>
      <c r="D3" s="4">
        <v>0</v>
      </c>
      <c r="E3" s="4">
        <v>0</v>
      </c>
    </row>
    <row r="4" spans="1:5" x14ac:dyDescent="0.2">
      <c r="A4" s="3">
        <v>2</v>
      </c>
      <c r="B4" s="4">
        <v>510</v>
      </c>
      <c r="C4" s="4">
        <v>510</v>
      </c>
      <c r="D4" s="4">
        <v>0</v>
      </c>
      <c r="E4" s="4">
        <v>75</v>
      </c>
    </row>
    <row r="5" spans="1:5" x14ac:dyDescent="0.2">
      <c r="A5" s="3">
        <v>3</v>
      </c>
      <c r="B5" s="4">
        <v>1655</v>
      </c>
      <c r="C5" s="4">
        <v>1655</v>
      </c>
      <c r="D5" s="4">
        <v>0</v>
      </c>
      <c r="E5" s="4">
        <v>0</v>
      </c>
    </row>
    <row r="6" spans="1:5" x14ac:dyDescent="0.2">
      <c r="A6" s="3">
        <v>4</v>
      </c>
      <c r="B6" s="4">
        <v>1320</v>
      </c>
      <c r="C6" s="4">
        <v>1320</v>
      </c>
      <c r="D6" s="4">
        <v>0</v>
      </c>
      <c r="E6" s="4">
        <v>110</v>
      </c>
    </row>
    <row r="7" spans="1:5" x14ac:dyDescent="0.2">
      <c r="A7" s="3">
        <v>5</v>
      </c>
      <c r="B7" s="4">
        <v>1757</v>
      </c>
      <c r="C7" s="4">
        <v>1757</v>
      </c>
      <c r="D7" s="4">
        <v>0</v>
      </c>
      <c r="E7" s="4">
        <v>0</v>
      </c>
    </row>
    <row r="8" spans="1:5" x14ac:dyDescent="0.2">
      <c r="A8" s="3">
        <v>6</v>
      </c>
      <c r="B8" s="4">
        <v>1210</v>
      </c>
      <c r="C8" s="4">
        <v>1210</v>
      </c>
      <c r="D8" s="4">
        <v>0</v>
      </c>
      <c r="E8" s="4">
        <v>0</v>
      </c>
    </row>
    <row r="9" spans="1:5" x14ac:dyDescent="0.2">
      <c r="A9" s="3">
        <v>7</v>
      </c>
      <c r="B9" s="4">
        <v>1603</v>
      </c>
      <c r="C9" s="4">
        <v>1603</v>
      </c>
      <c r="D9" s="4">
        <v>0</v>
      </c>
      <c r="E9" s="4">
        <v>0</v>
      </c>
    </row>
    <row r="10" spans="1:5" x14ac:dyDescent="0.2">
      <c r="A10" s="3">
        <v>8</v>
      </c>
      <c r="B10" s="4">
        <v>1475</v>
      </c>
      <c r="C10" s="4">
        <v>1475</v>
      </c>
      <c r="D10" s="4">
        <v>0</v>
      </c>
      <c r="E10" s="4">
        <v>0</v>
      </c>
    </row>
    <row r="11" spans="1:5" x14ac:dyDescent="0.2">
      <c r="A11" s="3">
        <v>9</v>
      </c>
      <c r="B11" s="4">
        <v>1320</v>
      </c>
      <c r="C11" s="4">
        <v>1320</v>
      </c>
      <c r="D11" s="4">
        <v>0</v>
      </c>
      <c r="E11" s="4">
        <v>110</v>
      </c>
    </row>
    <row r="12" spans="1:5" x14ac:dyDescent="0.2">
      <c r="A12" s="3">
        <v>10</v>
      </c>
      <c r="B12" s="4">
        <v>1685</v>
      </c>
      <c r="C12" s="4">
        <v>1685</v>
      </c>
      <c r="D12" s="4">
        <v>0</v>
      </c>
      <c r="E12" s="4">
        <v>0</v>
      </c>
    </row>
    <row r="13" spans="1:5" x14ac:dyDescent="0.2">
      <c r="A13" s="3">
        <v>11</v>
      </c>
      <c r="B13" s="4">
        <v>1199</v>
      </c>
      <c r="C13" s="4">
        <v>1199</v>
      </c>
      <c r="D13" s="4">
        <v>0</v>
      </c>
      <c r="E13" s="4">
        <v>101</v>
      </c>
    </row>
    <row r="14" spans="1:5" x14ac:dyDescent="0.2">
      <c r="A14" s="3">
        <v>12</v>
      </c>
      <c r="B14" s="4">
        <v>1782</v>
      </c>
      <c r="C14" s="4">
        <v>1782</v>
      </c>
      <c r="D14" s="4">
        <v>0</v>
      </c>
      <c r="E14" s="4">
        <v>0</v>
      </c>
    </row>
    <row r="15" spans="1:5" x14ac:dyDescent="0.2">
      <c r="A15" s="3" t="s">
        <v>20</v>
      </c>
      <c r="B15" s="4">
        <v>16991</v>
      </c>
      <c r="C15" s="4">
        <v>16991</v>
      </c>
      <c r="D15" s="4">
        <v>0</v>
      </c>
      <c r="E15" s="4">
        <v>396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G36" sqref="G36"/>
    </sheetView>
  </sheetViews>
  <sheetFormatPr defaultRowHeight="12.75" x14ac:dyDescent="0.2"/>
  <cols>
    <col min="1" max="1" width="13.85546875" customWidth="1"/>
    <col min="2" max="2" width="19.42578125" customWidth="1"/>
    <col min="3" max="3" width="19.7109375" customWidth="1"/>
    <col min="4" max="4" width="14" customWidth="1"/>
    <col min="5" max="5" width="12.7109375" customWidth="1"/>
  </cols>
  <sheetData>
    <row r="1" spans="1:5" x14ac:dyDescent="0.2">
      <c r="A1" t="s">
        <v>49</v>
      </c>
      <c r="B1" t="s">
        <v>50</v>
      </c>
      <c r="C1" t="s">
        <v>51</v>
      </c>
      <c r="D1" t="s">
        <v>52</v>
      </c>
      <c r="E1" t="s">
        <v>53</v>
      </c>
    </row>
    <row r="2" spans="1:5" x14ac:dyDescent="0.2">
      <c r="A2" s="4">
        <v>56700</v>
      </c>
      <c r="B2" s="4">
        <v>1038000</v>
      </c>
      <c r="C2" s="4">
        <v>0</v>
      </c>
      <c r="D2" s="4">
        <v>75240</v>
      </c>
      <c r="E2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13" sqref="G13"/>
    </sheetView>
  </sheetViews>
  <sheetFormatPr defaultRowHeight="12.75" x14ac:dyDescent="0.2"/>
  <cols>
    <col min="1" max="1" width="3.5703125" bestFit="1" customWidth="1"/>
    <col min="2" max="2" width="8.85546875" bestFit="1" customWidth="1"/>
    <col min="3" max="3" width="11.7109375" bestFit="1" customWidth="1"/>
    <col min="4" max="4" width="13.28515625" bestFit="1" customWidth="1"/>
    <col min="5" max="5" width="12.140625" bestFit="1" customWidth="1"/>
    <col min="6" max="6" width="12.28515625" bestFit="1" customWidth="1"/>
    <col min="7" max="7" width="16.7109375" bestFit="1" customWidth="1"/>
  </cols>
  <sheetData>
    <row r="1" spans="1:7" x14ac:dyDescent="0.2">
      <c r="A1" s="10" t="s">
        <v>42</v>
      </c>
      <c r="B1" s="10" t="s">
        <v>43</v>
      </c>
      <c r="C1" s="10" t="s">
        <v>44</v>
      </c>
      <c r="D1" s="10" t="s">
        <v>45</v>
      </c>
      <c r="E1" s="10" t="s">
        <v>46</v>
      </c>
      <c r="F1" s="10" t="s">
        <v>47</v>
      </c>
      <c r="G1" s="10" t="s">
        <v>48</v>
      </c>
    </row>
    <row r="2" spans="1:7" x14ac:dyDescent="0.2">
      <c r="A2" s="10">
        <v>1</v>
      </c>
      <c r="B2" s="10">
        <v>1169940</v>
      </c>
      <c r="C2" s="10">
        <v>56700</v>
      </c>
      <c r="D2" s="10">
        <v>1038000</v>
      </c>
      <c r="E2" s="10">
        <v>0</v>
      </c>
      <c r="F2" s="10">
        <v>75240</v>
      </c>
      <c r="G2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6" baseType="variant">
      <vt:variant>
        <vt:lpstr>Листы</vt:lpstr>
      </vt:variant>
      <vt:variant>
        <vt:i4>7</vt:i4>
      </vt:variant>
      <vt:variant>
        <vt:lpstr>Диаграммы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14" baseType="lpstr">
      <vt:lpstr>parameters table</vt:lpstr>
      <vt:lpstr>input data</vt:lpstr>
      <vt:lpstr>Production Sourcing</vt:lpstr>
      <vt:lpstr>solution_report</vt:lpstr>
      <vt:lpstr>Service Level</vt:lpstr>
      <vt:lpstr>Objective</vt:lpstr>
      <vt:lpstr>objective_report</vt:lpstr>
      <vt:lpstr>Service Level Vis</vt:lpstr>
      <vt:lpstr>Production sourcing Vis</vt:lpstr>
      <vt:lpstr>Objective Vis</vt:lpstr>
      <vt:lpstr>input_data</vt:lpstr>
      <vt:lpstr>objective_report</vt:lpstr>
      <vt:lpstr>parameters</vt:lpstr>
      <vt:lpstr>solution_report</vt:lpstr>
    </vt:vector>
  </TitlesOfParts>
  <Company>Microsoft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</dc:creator>
  <cp:lastModifiedBy>Gleb Zakhodyakin</cp:lastModifiedBy>
  <cp:lastPrinted>2009-06-06T08:23:23Z</cp:lastPrinted>
  <dcterms:created xsi:type="dcterms:W3CDTF">2009-05-29T20:10:32Z</dcterms:created>
  <dcterms:modified xsi:type="dcterms:W3CDTF">2016-10-05T10:31:59Z</dcterms:modified>
</cp:coreProperties>
</file>