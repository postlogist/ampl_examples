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filterPrivacy="1"/>
  <bookViews>
    <workbookView xWindow="0" yWindow="0" windowWidth="22260" windowHeight="12645" tabRatio="391" firstSheet="4" activeTab="5"/>
  </bookViews>
  <sheets>
    <sheet name="parameters" sheetId="5" r:id="rId1"/>
    <sheet name="markets" sheetId="1" r:id="rId2"/>
    <sheet name="warehouses" sheetId="2" r:id="rId3"/>
    <sheet name="all_routes" sheetId="3" r:id="rId4"/>
    <sheet name="selected_routes" sheetId="4" r:id="rId5"/>
    <sheet name="Структура поставок" sheetId="7" r:id="rId6"/>
    <sheet name="Структура затрат" sheetId="8" r:id="rId7"/>
    <sheet name="SolutionRpt" sheetId="6" r:id="rId8"/>
    <sheet name="Затраты по складам" sheetId="9" r:id="rId9"/>
  </sheets>
  <definedNames>
    <definedName name="SolutionRpt">SolutionRpt!$A$1:$D$13</definedName>
  </definedNames>
  <calcPr calcId="162913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<sst xmlns="http://schemas.openxmlformats.org/spreadsheetml/2006/main" count="182" uniqueCount="33">
  <si>
    <t>Владимир</t>
  </si>
  <si>
    <t>Волоколамск</t>
  </si>
  <si>
    <t>Дубна</t>
  </si>
  <si>
    <t>Иваново</t>
  </si>
  <si>
    <t>Калуга</t>
  </si>
  <si>
    <t>Москва</t>
  </si>
  <si>
    <t>Рязань</t>
  </si>
  <si>
    <t>Тверь</t>
  </si>
  <si>
    <t>Тула</t>
  </si>
  <si>
    <t>Нижний</t>
  </si>
  <si>
    <t>MARKET</t>
  </si>
  <si>
    <t>demand</t>
  </si>
  <si>
    <t>Химки</t>
  </si>
  <si>
    <t>Чехов</t>
  </si>
  <si>
    <t>Ногинск</t>
  </si>
  <si>
    <t>WH</t>
  </si>
  <si>
    <t>inventory</t>
  </si>
  <si>
    <t>origin</t>
  </si>
  <si>
    <t>destination</t>
  </si>
  <si>
    <t>distance</t>
  </si>
  <si>
    <t>tariff</t>
  </si>
  <si>
    <t>warehouse</t>
  </si>
  <si>
    <t>market</t>
  </si>
  <si>
    <t>trans</t>
  </si>
  <si>
    <t>cost</t>
  </si>
  <si>
    <t>Названия столбцов</t>
  </si>
  <si>
    <t>Общий итог</t>
  </si>
  <si>
    <t>Названия строк</t>
  </si>
  <si>
    <t>План перевозок</t>
  </si>
  <si>
    <t>Рынок</t>
  </si>
  <si>
    <t>Склад</t>
  </si>
  <si>
    <t>Транспортные затраты</t>
  </si>
  <si>
    <t>Суммарные транспортные затраты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</si>
</sst>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[transportation.xlsx]Структура поставок!Сводная 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'Структура поставок'!$B$1:$B$2</c:f>
              <c:strCache>
                <c:ptCount val="1"/>
                <c:pt idx="0">
                  <c:v>Ногинск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'Структура поставок'!$A$3:$A$13</c:f>
              <c:strCache>
                <c:ptCount val="10"/>
                <c:pt idx="0">
                  <c:v>Владимир</c:v>
                </c:pt>
                <c:pt idx="1">
                  <c:v>Волоколамск</c:v>
                </c:pt>
                <c:pt idx="2">
                  <c:v>Дубна</c:v>
                </c:pt>
                <c:pt idx="3">
                  <c:v>Иваново</c:v>
                </c:pt>
                <c:pt idx="4">
                  <c:v>Калуга</c:v>
                </c:pt>
                <c:pt idx="5">
                  <c:v>Москва</c:v>
                </c:pt>
                <c:pt idx="6">
                  <c:v>Нижний</c:v>
                </c:pt>
                <c:pt idx="7">
                  <c:v>Рязань</c:v>
                </c:pt>
                <c:pt idx="8">
                  <c:v>Тверь</c:v>
                </c:pt>
                <c:pt idx="9">
                  <c:v>Тула</c:v>
                </c:pt>
              </c:strCache>
            </c:strRef>
          </c:cat>
          <c:val>
            <c:numRef>
              <c:f>'Структура поставок'!$B$3:$B$13</c:f>
              <c:numCache>
                <c:formatCode>General</c:formatCode>
                <c:ptCount val="10"/>
                <c:pt idx="0">
                  <c:v>100</c:v>
                </c:pt>
                <c:pt idx="3">
                  <c:v>100</c:v>
                </c:pt>
                <c:pt idx="5">
                  <c:v>500</c:v>
                </c:pt>
                <c:pt idx="6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9-4502-A529-60E390140742}"/>
            </c:ext>
          </c:extLst>
        </c:ser>
        <c:ser>
          <c:idx val="1"/>
          <c:order val="1"/>
          <c:tx>
            <c:strRef>
              <c:f>'Структура поставок'!$C$1:$C$2</c:f>
              <c:strCache>
                <c:ptCount val="1"/>
                <c:pt idx="0">
                  <c:v>Химки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'Структура поставок'!$A$3:$A$13</c:f>
              <c:strCache>
                <c:ptCount val="10"/>
                <c:pt idx="0">
                  <c:v>Владимир</c:v>
                </c:pt>
                <c:pt idx="1">
                  <c:v>Волоколамск</c:v>
                </c:pt>
                <c:pt idx="2">
                  <c:v>Дубна</c:v>
                </c:pt>
                <c:pt idx="3">
                  <c:v>Иваново</c:v>
                </c:pt>
                <c:pt idx="4">
                  <c:v>Калуга</c:v>
                </c:pt>
                <c:pt idx="5">
                  <c:v>Москва</c:v>
                </c:pt>
                <c:pt idx="6">
                  <c:v>Нижний</c:v>
                </c:pt>
                <c:pt idx="7">
                  <c:v>Рязань</c:v>
                </c:pt>
                <c:pt idx="8">
                  <c:v>Тверь</c:v>
                </c:pt>
                <c:pt idx="9">
                  <c:v>Тула</c:v>
                </c:pt>
              </c:strCache>
            </c:strRef>
          </c:cat>
          <c:val>
            <c:numRef>
              <c:f>'Структура поставок'!$C$3:$C$13</c:f>
              <c:numCache>
                <c:formatCode>General</c:formatCode>
                <c:ptCount val="10"/>
                <c:pt idx="1">
                  <c:v>50</c:v>
                </c:pt>
                <c:pt idx="2">
                  <c:v>50</c:v>
                </c:pt>
                <c:pt idx="5">
                  <c:v>200</c:v>
                </c:pt>
                <c:pt idx="8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89-4502-A529-60E390140742}"/>
            </c:ext>
          </c:extLst>
        </c:ser>
        <c:ser>
          <c:idx val="2"/>
          <c:order val="2"/>
          <c:tx>
            <c:strRef>
              <c:f>'Структура поставок'!$D$1:$D$2</c:f>
              <c:strCache>
                <c:ptCount val="1"/>
                <c:pt idx="0">
                  <c:v>Чехов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'Структура поставок'!$A$3:$A$13</c:f>
              <c:strCache>
                <c:ptCount val="10"/>
                <c:pt idx="0">
                  <c:v>Владимир</c:v>
                </c:pt>
                <c:pt idx="1">
                  <c:v>Волоколамск</c:v>
                </c:pt>
                <c:pt idx="2">
                  <c:v>Дубна</c:v>
                </c:pt>
                <c:pt idx="3">
                  <c:v>Иваново</c:v>
                </c:pt>
                <c:pt idx="4">
                  <c:v>Калуга</c:v>
                </c:pt>
                <c:pt idx="5">
                  <c:v>Москва</c:v>
                </c:pt>
                <c:pt idx="6">
                  <c:v>Нижний</c:v>
                </c:pt>
                <c:pt idx="7">
                  <c:v>Рязань</c:v>
                </c:pt>
                <c:pt idx="8">
                  <c:v>Тверь</c:v>
                </c:pt>
                <c:pt idx="9">
                  <c:v>Тула</c:v>
                </c:pt>
              </c:strCache>
            </c:strRef>
          </c:cat>
          <c:val>
            <c:numRef>
              <c:f>'Структура поставок'!$D$3:$D$13</c:f>
              <c:numCache>
                <c:formatCode>General</c:formatCode>
                <c:ptCount val="10"/>
                <c:pt idx="4">
                  <c:v>80</c:v>
                </c:pt>
                <c:pt idx="5">
                  <c:v>100</c:v>
                </c:pt>
                <c:pt idx="7">
                  <c:v>120</c:v>
                </c:pt>
                <c:pt idx="9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89-4502-A529-60E390140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0113375"/>
        <c:axId val="2114120063"/>
      </c:barChart>
      <c:catAx>
        <c:axId val="90113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4120063"/>
        <c:crosses val="autoZero"/>
        <c:auto val="1"/>
        <c:lblAlgn val="ctr"/>
        <c:lblOffset val="100"/>
        <c:noMultiLvlLbl val="0"/>
      </c:catAx>
      <c:valAx>
        <c:axId val="211412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11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[transportation.xlsx]Структура затрат!Сводная таблица2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962815949376191"/>
          <c:y val="0.14249781277340332"/>
          <c:w val="0.61126811203394094"/>
          <c:h val="0.7501027996500437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'Структура затрат'!$B$1:$B$2</c:f>
              <c:strCache>
                <c:ptCount val="1"/>
                <c:pt idx="0">
                  <c:v>Владимир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'Структура затрат'!$A$3:$A$6</c:f>
              <c:strCache>
                <c:ptCount val="3"/>
                <c:pt idx="0">
                  <c:v>Ногинск</c:v>
                </c:pt>
                <c:pt idx="1">
                  <c:v>Химки</c:v>
                </c:pt>
                <c:pt idx="2">
                  <c:v>Чехов</c:v>
                </c:pt>
              </c:strCache>
            </c:strRef>
          </c:cat>
          <c:val>
            <c:numRef>
              <c:f>'Структура затрат'!$B$3:$B$6</c:f>
              <c:numCache>
                <c:formatCode>#,##0</c:formatCode>
                <c:ptCount val="3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A-4E21-9987-BD2CDA6062DA}"/>
            </c:ext>
          </c:extLst>
        </c:ser>
        <c:ser>
          <c:idx val="1"/>
          <c:order val="1"/>
          <c:tx>
            <c:strRef>
              <c:f>'Структура затрат'!$C$1:$C$2</c:f>
              <c:strCache>
                <c:ptCount val="1"/>
                <c:pt idx="0">
                  <c:v>Волоколамск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'Структура затрат'!$A$3:$A$6</c:f>
              <c:strCache>
                <c:ptCount val="3"/>
                <c:pt idx="0">
                  <c:v>Ногинск</c:v>
                </c:pt>
                <c:pt idx="1">
                  <c:v>Химки</c:v>
                </c:pt>
                <c:pt idx="2">
                  <c:v>Чехов</c:v>
                </c:pt>
              </c:strCache>
            </c:strRef>
          </c:cat>
          <c:val>
            <c:numRef>
              <c:f>'Структура затрат'!$C$3:$C$6</c:f>
              <c:numCache>
                <c:formatCode>#,##0</c:formatCode>
                <c:ptCount val="3"/>
                <c:pt idx="1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34A-4E21-9987-BD2CDA6062DA}"/>
            </c:ext>
          </c:extLst>
        </c:ser>
        <c:ser>
          <c:idx val="2"/>
          <c:order val="2"/>
          <c:tx>
            <c:strRef>
              <c:f>'Структура затрат'!$D$1:$D$2</c:f>
              <c:strCache>
                <c:ptCount val="1"/>
                <c:pt idx="0">
                  <c:v>Дубна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'Структура затрат'!$A$3:$A$6</c:f>
              <c:strCache>
                <c:ptCount val="3"/>
                <c:pt idx="0">
                  <c:v>Ногинск</c:v>
                </c:pt>
                <c:pt idx="1">
                  <c:v>Химки</c:v>
                </c:pt>
                <c:pt idx="2">
                  <c:v>Чехов</c:v>
                </c:pt>
              </c:strCache>
            </c:strRef>
          </c:cat>
          <c:val>
            <c:numRef>
              <c:f>'Структура затрат'!$D$3:$D$6</c:f>
              <c:numCache>
                <c:formatCode>#,##0</c:formatCode>
                <c:ptCount val="3"/>
                <c:pt idx="1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34A-4E21-9987-BD2CDA6062DA}"/>
            </c:ext>
          </c:extLst>
        </c:ser>
        <c:ser>
          <c:idx val="3"/>
          <c:order val="3"/>
          <c:tx>
            <c:strRef>
              <c:f>'Структура затрат'!$E$1:$E$2</c:f>
              <c:strCache>
                <c:ptCount val="1"/>
                <c:pt idx="0">
                  <c:v>Иваново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'Структура затрат'!$A$3:$A$6</c:f>
              <c:strCache>
                <c:ptCount val="3"/>
                <c:pt idx="0">
                  <c:v>Ногинск</c:v>
                </c:pt>
                <c:pt idx="1">
                  <c:v>Химки</c:v>
                </c:pt>
                <c:pt idx="2">
                  <c:v>Чехов</c:v>
                </c:pt>
              </c:strCache>
            </c:strRef>
          </c:cat>
          <c:val>
            <c:numRef>
              <c:f>'Структура затрат'!$E$3:$E$6</c:f>
              <c:numCache>
                <c:formatCode>#,##0</c:formatCode>
                <c:ptCount val="3"/>
                <c:pt idx="0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34A-4E21-9987-BD2CDA6062DA}"/>
            </c:ext>
          </c:extLst>
        </c:ser>
        <c:ser>
          <c:idx val="4"/>
          <c:order val="4"/>
          <c:tx>
            <c:strRef>
              <c:f>'Структура затрат'!$F$1:$F$2</c:f>
              <c:strCache>
                <c:ptCount val="1"/>
                <c:pt idx="0">
                  <c:v>Калуга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'Структура затрат'!$A$3:$A$6</c:f>
              <c:strCache>
                <c:ptCount val="3"/>
                <c:pt idx="0">
                  <c:v>Ногинск</c:v>
                </c:pt>
                <c:pt idx="1">
                  <c:v>Химки</c:v>
                </c:pt>
                <c:pt idx="2">
                  <c:v>Чехов</c:v>
                </c:pt>
              </c:strCache>
            </c:strRef>
          </c:cat>
          <c:val>
            <c:numRef>
              <c:f>'Структура затрат'!$F$3:$F$6</c:f>
              <c:numCache>
                <c:formatCode>#,##0</c:formatCode>
                <c:ptCount val="3"/>
                <c:pt idx="2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34A-4E21-9987-BD2CDA6062DA}"/>
            </c:ext>
          </c:extLst>
        </c:ser>
        <c:ser>
          <c:idx val="5"/>
          <c:order val="5"/>
          <c:tx>
            <c:strRef>
              <c:f>'Структура затрат'!$G$1:$G$2</c:f>
              <c:strCache>
                <c:ptCount val="1"/>
                <c:pt idx="0">
                  <c:v>Москва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'Структура затрат'!$A$3:$A$6</c:f>
              <c:strCache>
                <c:ptCount val="3"/>
                <c:pt idx="0">
                  <c:v>Ногинск</c:v>
                </c:pt>
                <c:pt idx="1">
                  <c:v>Химки</c:v>
                </c:pt>
                <c:pt idx="2">
                  <c:v>Чехов</c:v>
                </c:pt>
              </c:strCache>
            </c:strRef>
          </c:cat>
          <c:val>
            <c:numRef>
              <c:f>'Структура затрат'!$G$3:$G$6</c:f>
              <c:numCache>
                <c:formatCode>#,##0</c:formatCode>
                <c:ptCount val="3"/>
                <c:pt idx="0">
                  <c:v>29000</c:v>
                </c:pt>
                <c:pt idx="1">
                  <c:v>4000</c:v>
                </c:pt>
                <c:pt idx="2">
                  <c:v>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34A-4E21-9987-BD2CDA6062DA}"/>
            </c:ext>
          </c:extLst>
        </c:ser>
        <c:ser>
          <c:idx val="6"/>
          <c:order val="6"/>
          <c:tx>
            <c:strRef>
              <c:f>'Структура затрат'!$H$1:$H$2</c:f>
              <c:strCache>
                <c:ptCount val="1"/>
                <c:pt idx="0">
                  <c:v>Нижний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'Структура затрат'!$A$3:$A$6</c:f>
              <c:strCache>
                <c:ptCount val="3"/>
                <c:pt idx="0">
                  <c:v>Ногинск</c:v>
                </c:pt>
                <c:pt idx="1">
                  <c:v>Химки</c:v>
                </c:pt>
                <c:pt idx="2">
                  <c:v>Чехов</c:v>
                </c:pt>
              </c:strCache>
            </c:strRef>
          </c:cat>
          <c:val>
            <c:numRef>
              <c:f>'Структура затрат'!$H$3:$H$6</c:f>
              <c:numCache>
                <c:formatCode>#,##0</c:formatCode>
                <c:ptCount val="3"/>
                <c:pt idx="0">
                  <c:v>114000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34A-4E21-9987-BD2CDA6062DA}"/>
            </c:ext>
          </c:extLst>
        </c:ser>
        <c:ser>
          <c:idx val="7"/>
          <c:order val="7"/>
          <c:tx>
            <c:strRef>
              <c:f>'Структура затрат'!$I$1:$I$2</c:f>
              <c:strCache>
                <c:ptCount val="1"/>
                <c:pt idx="0">
                  <c:v>Рязань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'Структура затрат'!$A$3:$A$6</c:f>
              <c:strCache>
                <c:ptCount val="3"/>
                <c:pt idx="0">
                  <c:v>Ногинск</c:v>
                </c:pt>
                <c:pt idx="1">
                  <c:v>Химки</c:v>
                </c:pt>
                <c:pt idx="2">
                  <c:v>Чехов</c:v>
                </c:pt>
              </c:strCache>
            </c:strRef>
          </c:cat>
          <c:val>
            <c:numRef>
              <c:f>'Структура затрат'!$I$3:$I$6</c:f>
              <c:numCache>
                <c:formatCode>#,##0</c:formatCode>
                <c:ptCount val="3"/>
                <c:pt idx="2">
                  <c:v>25200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34A-4E21-9987-BD2CDA6062DA}"/>
            </c:ext>
          </c:extLst>
        </c:ser>
        <c:ser>
          <c:idx val="8"/>
          <c:order val="8"/>
          <c:tx>
            <c:strRef>
              <c:f>'Структура затрат'!$J$1:$J$2</c:f>
              <c:strCache>
                <c:ptCount val="1"/>
                <c:pt idx="0">
                  <c:v>Тверь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'Структура затрат'!$A$3:$A$6</c:f>
              <c:strCache>
                <c:ptCount val="3"/>
                <c:pt idx="0">
                  <c:v>Ногинск</c:v>
                </c:pt>
                <c:pt idx="1">
                  <c:v>Химки</c:v>
                </c:pt>
                <c:pt idx="2">
                  <c:v>Чехов</c:v>
                </c:pt>
              </c:strCache>
            </c:strRef>
          </c:cat>
          <c:val>
            <c:numRef>
              <c:f>'Структура затрат'!$J$3:$J$6</c:f>
              <c:numCache>
                <c:formatCode>#,##0</c:formatCode>
                <c:ptCount val="3"/>
                <c:pt idx="1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34A-4E21-9987-BD2CDA6062DA}"/>
            </c:ext>
          </c:extLst>
        </c:ser>
        <c:ser>
          <c:idx val="9"/>
          <c:order val="9"/>
          <c:tx>
            <c:strRef>
              <c:f>'Структура затрат'!$K$1:$K$2</c:f>
              <c:strCache>
                <c:ptCount val="1"/>
                <c:pt idx="0">
                  <c:v>Тула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'Структура затрат'!$A$3:$A$6</c:f>
              <c:strCache>
                <c:ptCount val="3"/>
                <c:pt idx="0">
                  <c:v>Ногинск</c:v>
                </c:pt>
                <c:pt idx="1">
                  <c:v>Химки</c:v>
                </c:pt>
                <c:pt idx="2">
                  <c:v>Чехов</c:v>
                </c:pt>
              </c:strCache>
            </c:strRef>
          </c:cat>
          <c:val>
            <c:numRef>
              <c:f>'Структура затрат'!$K$3:$K$6</c:f>
              <c:numCache>
                <c:formatCode>#,##0</c:formatCode>
                <c:ptCount val="3"/>
                <c:pt idx="2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34A-4E21-9987-BD2CDA606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36343663"/>
        <c:axId val="237796815"/>
      </c:barChart>
      <c:catAx>
        <c:axId val="236343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7796815"/>
        <c:crosses val="autoZero"/>
        <c:auto val="1"/>
        <c:lblAlgn val="ctr"/>
        <c:lblOffset val="100"/>
        <c:noMultiLvlLbl val="0"/>
      </c:catAx>
      <c:valAx>
        <c:axId val="23779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634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82817387552589"/>
          <c:y val="0.17903834937299504"/>
          <c:w val="0.12148915964943637"/>
          <c:h val="0.692270705745115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[transportation.xlsx]Затраты по складам!Сводная таблица3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'Затраты по складам'!$B$1:$B$2</c:f>
              <c:strCache>
                <c:ptCount val="1"/>
                <c:pt idx="0">
                  <c:v>Ногинск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'Затраты по складам'!$A$3</c:f>
              <c:strCache>
                <c:ptCount val="1"/>
                <c:pt idx="0">
                  <c:v>Итог</c:v>
                </c:pt>
              </c:strCache>
            </c:strRef>
          </c:cat>
          <c:val>
            <c:numRef>
              <c:f>'Затраты по складам'!$B$3</c:f>
              <c:numCache>
                <c:formatCode>#,##0</c:formatCode>
                <c:ptCount val="1"/>
                <c:pt idx="0">
                  <c:v>182000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D-4400-892C-446334D90A1E}"/>
            </c:ext>
          </c:extLst>
        </c:ser>
        <c:ser>
          <c:idx val="1"/>
          <c:order val="1"/>
          <c:tx>
            <c:strRef>
              <c:f>'Затраты по складам'!$C$1:$C$2</c:f>
              <c:strCache>
                <c:ptCount val="1"/>
                <c:pt idx="0">
                  <c:v>Химки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'Затраты по складам'!$A$3</c:f>
              <c:strCache>
                <c:ptCount val="1"/>
                <c:pt idx="0">
                  <c:v>Итог</c:v>
                </c:pt>
              </c:strCache>
            </c:strRef>
          </c:cat>
          <c:val>
            <c:numRef>
              <c:f>'Затраты по складам'!$C$3</c:f>
              <c:numCache>
                <c:formatCode>#,##0</c:formatCode>
                <c:ptCount val="1"/>
                <c:pt idx="0">
                  <c:v>45500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3D-4400-892C-446334D90A1E}"/>
            </c:ext>
          </c:extLst>
        </c:ser>
        <c:ser>
          <c:idx val="2"/>
          <c:order val="2"/>
          <c:tx>
            <c:strRef>
              <c:f>'Затраты по складам'!$D$1:$D$2</c:f>
              <c:strCache>
                <c:ptCount val="1"/>
                <c:pt idx="0">
                  <c:v>Чехов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'Затраты по складам'!$A$3</c:f>
              <c:strCache>
                <c:ptCount val="1"/>
                <c:pt idx="0">
                  <c:v>Итог</c:v>
                </c:pt>
              </c:strCache>
            </c:strRef>
          </c:cat>
          <c:val>
            <c:numRef>
              <c:f>'Затраты по складам'!$D$3</c:f>
              <c:numCache>
                <c:formatCode>#,##0</c:formatCode>
                <c:ptCount val="1"/>
                <c:pt idx="0">
                  <c:v>67600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3D-4400-892C-446334D90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34429039"/>
        <c:axId val="265774783"/>
      </c:barChart>
      <c:catAx>
        <c:axId val="234429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5774783"/>
        <c:crosses val="autoZero"/>
        <c:auto val="1"/>
        <c:lblAlgn val="ctr"/>
        <c:lblOffset val="100"/>
        <c:noMultiLvlLbl val="0"/>
      </c:catAx>
      <c:valAx>
        <c:axId val="26577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442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47625</xdr:rowOff>
    </xdr:from>
    <xdr:to>
      <xdr:col>12</xdr:col>
      <xdr:colOff>542925</xdr:colOff>
      <xdr:row>14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8E3F8E1-D7EE-4104-8BB9-A00B280F7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6</xdr:row>
      <xdr:rowOff>123825</xdr:rowOff>
    </xdr:from>
    <xdr:to>
      <xdr:col>9</xdr:col>
      <xdr:colOff>381000</xdr:colOff>
      <xdr:row>21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0A86F5D-4AF5-4814-A95B-F1618B196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4</xdr:row>
      <xdr:rowOff>28575</xdr:rowOff>
    </xdr:from>
    <xdr:to>
      <xdr:col>5</xdr:col>
      <xdr:colOff>381000</xdr:colOff>
      <xdr:row>11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384D47F-B6CE-4424-9A0F-FA574AC0C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2837.018899537034" createdVersion="6" refreshedVersion="6" minRefreshableVersion="3" recordCount="12">
  <cacheSource type="worksheet">
    <worksheetSource name="SolutionRpt"/>
  </cacheSource>
  <cacheFields count="4">
    <cacheField name="warehouse" numFmtId="0">
      <sharedItems count="3">
        <s v="Химки"/>
        <s v="Чехов"/>
        <s v="Ногинск"/>
      </sharedItems>
    </cacheField>
    <cacheField name="market" numFmtId="0">
      <sharedItems count="10">
        <s v="Волоколамск"/>
        <s v="Дубна"/>
        <s v="Тверь"/>
        <s v="Москва"/>
        <s v="Калуга"/>
        <s v="Рязань"/>
        <s v="Тула"/>
        <s v="Владимир"/>
        <s v="Иваново"/>
        <s v="Нижний"/>
      </sharedItems>
    </cacheField>
    <cacheField name="trans" numFmtId="0">
      <sharedItems containsSemiMixedTypes="0" containsString="0" containsNumber="1" containsInteger="1" minValue="50" maxValue="500"/>
    </cacheField>
    <cacheField name="cost" numFmtId="0">
      <sharedItems containsSemiMixedTypes="0" containsString="0" containsNumber="1" containsInteger="1" minValue="4000" maxValue="11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n v="50"/>
    <n v="5500"/>
  </r>
  <r>
    <x v="0"/>
    <x v="1"/>
    <n v="50"/>
    <n v="6000"/>
  </r>
  <r>
    <x v="0"/>
    <x v="2"/>
    <n v="200"/>
    <n v="30000"/>
  </r>
  <r>
    <x v="0"/>
    <x v="3"/>
    <n v="200"/>
    <n v="4000"/>
  </r>
  <r>
    <x v="1"/>
    <x v="4"/>
    <n v="80"/>
    <n v="12000"/>
  </r>
  <r>
    <x v="1"/>
    <x v="5"/>
    <n v="120"/>
    <n v="25200"/>
  </r>
  <r>
    <x v="1"/>
    <x v="3"/>
    <n v="100"/>
    <n v="8400"/>
  </r>
  <r>
    <x v="1"/>
    <x v="6"/>
    <n v="200"/>
    <n v="22000"/>
  </r>
  <r>
    <x v="2"/>
    <x v="7"/>
    <n v="100"/>
    <n v="14000"/>
  </r>
  <r>
    <x v="2"/>
    <x v="8"/>
    <n v="100"/>
    <n v="25000"/>
  </r>
  <r>
    <x v="2"/>
    <x v="3"/>
    <n v="500"/>
    <n v="29000"/>
  </r>
  <r>
    <x v="2"/>
    <x v="9"/>
    <n v="300"/>
    <n v="11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6" rowHeaderCaption="Рынок" colHeaderCaption="Склад">
  <location ref="A1:E13" firstHeaderRow="1" firstDataRow="2" firstDataCol="1"/>
  <pivotFields count="4">
    <pivotField axis="axisCol" subtotalTop="0" showAll="0">
      <items count="4">
        <item x="2"/>
        <item x="0"/>
        <item x="1"/>
        <item t="default"/>
      </items>
    </pivotField>
    <pivotField axis="axisRow" subtotalTop="0" showAll="0">
      <items count="11">
        <item x="7"/>
        <item x="0"/>
        <item x="1"/>
        <item x="8"/>
        <item x="4"/>
        <item x="3"/>
        <item x="9"/>
        <item x="5"/>
        <item x="2"/>
        <item x="6"/>
        <item t="default"/>
      </items>
    </pivotField>
    <pivotField dataField="1" subtotalTop="0" showAll="0"/>
    <pivotField subtotalTop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План перевозок" fld="2" baseField="1" baseItem="7"/>
  </dataFields>
  <chartFormats count="5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Сводная таблица2" cacheId="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8">
  <location ref="A1:L6" firstHeaderRow="1" firstDataRow="2" firstDataCol="1"/>
  <pivotFields count="4">
    <pivotField axis="axisRow" subtotalTop="0" showAll="0">
      <items count="4">
        <item x="2"/>
        <item x="0"/>
        <item x="1"/>
        <item t="default"/>
      </items>
    </pivotField>
    <pivotField axis="axisCol" subtotalTop="0" showAll="0">
      <items count="11">
        <item x="7"/>
        <item x="0"/>
        <item x="1"/>
        <item x="8"/>
        <item x="4"/>
        <item x="3"/>
        <item x="9"/>
        <item x="5"/>
        <item x="2"/>
        <item x="6"/>
        <item t="default"/>
      </items>
    </pivotField>
    <pivotField subtotalTop="0" showAll="0"/>
    <pivotField dataField="1" subtotalTop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Транспортные затраты" fld="3" baseField="0" baseItem="514" numFmtId="3"/>
  </dataFields>
  <chartFormats count="11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Сводная таблица3" cacheId="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3">
  <location ref="A1:E3" firstHeaderRow="1" firstDataRow="2" firstDataCol="1"/>
  <pivotFields count="4">
    <pivotField axis="axisCol" subtotalTop="0" showAll="0">
      <items count="4">
        <item x="2"/>
        <item x="0"/>
        <item x="1"/>
        <item t="default"/>
      </items>
    </pivotField>
    <pivotField subtotalTop="0" showAll="0"/>
    <pivotField subtotalTop="0" showAll="0"/>
    <pivotField dataField="1" subtotalTop="0" showAll="0"/>
  </pivotFields>
  <rowItems count="1">
    <i/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Суммарные транспортные затраты" fld="3" baseField="0" baseItem="514" numFmtId="3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E13" sqref="E13"/>
    </sheetView>
  </sheetViews>
  <sheetFormatPr defaultRowHeight="15" x14ac:dyDescent="0.25"/>
  <cols>
    <col min="1" max="1" width="11.28515625" customWidth="1"/>
    <col min="2" max="2" width="14.42578125" customWidth="1"/>
  </cols>
  <sheetData>
    <row r="1" spans="1:1" x14ac:dyDescent="0.25">
      <c r="A1" t="s">
        <v>20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2" sqref="B2:B11"/>
    </sheetView>
  </sheetViews>
  <sheetFormatPr defaultRowHeight="15" x14ac:dyDescent="0.25"/>
  <cols>
    <col min="1" max="1" width="13.28515625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0</v>
      </c>
      <c r="B2">
        <v>100</v>
      </c>
    </row>
    <row r="3" spans="1:2" x14ac:dyDescent="0.25">
      <c r="A3" t="s">
        <v>1</v>
      </c>
      <c r="B3">
        <v>50</v>
      </c>
    </row>
    <row r="4" spans="1:2" x14ac:dyDescent="0.25">
      <c r="A4" t="s">
        <v>2</v>
      </c>
      <c r="B4">
        <v>50</v>
      </c>
    </row>
    <row r="5" spans="1:2" x14ac:dyDescent="0.25">
      <c r="A5" t="s">
        <v>3</v>
      </c>
      <c r="B5">
        <v>100</v>
      </c>
    </row>
    <row r="6" spans="1:2" x14ac:dyDescent="0.25">
      <c r="A6" t="s">
        <v>4</v>
      </c>
      <c r="B6">
        <v>80</v>
      </c>
    </row>
    <row r="7" spans="1:2" x14ac:dyDescent="0.25">
      <c r="A7" t="s">
        <v>5</v>
      </c>
      <c r="B7">
        <v>800</v>
      </c>
    </row>
    <row r="8" spans="1:2" x14ac:dyDescent="0.25">
      <c r="A8" t="s">
        <v>6</v>
      </c>
      <c r="B8">
        <v>120</v>
      </c>
    </row>
    <row r="9" spans="1:2" x14ac:dyDescent="0.25">
      <c r="A9" t="s">
        <v>7</v>
      </c>
      <c r="B9">
        <v>200</v>
      </c>
    </row>
    <row r="10" spans="1:2" x14ac:dyDescent="0.25">
      <c r="A10" t="s">
        <v>8</v>
      </c>
      <c r="B10">
        <v>200</v>
      </c>
    </row>
    <row r="11" spans="1:2" x14ac:dyDescent="0.25">
      <c r="A11" t="s">
        <v>9</v>
      </c>
      <c r="B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5" sqref="F5"/>
    </sheetView>
  </sheetViews>
  <sheetFormatPr defaultRowHeight="15" x14ac:dyDescent="0.25"/>
  <sheetData>
    <row r="1" spans="1:2" x14ac:dyDescent="0.25">
      <c r="A1" t="s">
        <v>15</v>
      </c>
      <c r="B1" t="s">
        <v>16</v>
      </c>
    </row>
    <row r="2" spans="1:2" x14ac:dyDescent="0.25">
      <c r="A2" t="s">
        <v>12</v>
      </c>
      <c r="B2">
        <v>500</v>
      </c>
    </row>
    <row r="3" spans="1:2" x14ac:dyDescent="0.25">
      <c r="A3" t="s">
        <v>13</v>
      </c>
      <c r="B3">
        <v>500</v>
      </c>
    </row>
    <row r="4" spans="1:2" x14ac:dyDescent="0.25">
      <c r="A4" t="s">
        <v>14</v>
      </c>
      <c r="B4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 x14ac:dyDescent="0.25"/>
  <cols>
    <col min="1" max="1" width="10.140625" customWidth="1"/>
    <col min="2" max="2" width="14.140625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12</v>
      </c>
      <c r="B2" t="s">
        <v>0</v>
      </c>
      <c r="C2">
        <v>210</v>
      </c>
    </row>
    <row r="3" spans="1:3" x14ac:dyDescent="0.25">
      <c r="A3" t="s">
        <v>12</v>
      </c>
      <c r="B3" t="s">
        <v>1</v>
      </c>
      <c r="C3">
        <v>110</v>
      </c>
    </row>
    <row r="4" spans="1:3" x14ac:dyDescent="0.25">
      <c r="A4" t="s">
        <v>12</v>
      </c>
      <c r="B4" t="s">
        <v>2</v>
      </c>
      <c r="C4">
        <v>120</v>
      </c>
    </row>
    <row r="5" spans="1:3" x14ac:dyDescent="0.25">
      <c r="A5" t="s">
        <v>12</v>
      </c>
      <c r="B5" t="s">
        <v>3</v>
      </c>
      <c r="C5">
        <v>330</v>
      </c>
    </row>
    <row r="6" spans="1:3" x14ac:dyDescent="0.25">
      <c r="A6" t="s">
        <v>12</v>
      </c>
      <c r="B6" t="s">
        <v>4</v>
      </c>
      <c r="C6">
        <v>190</v>
      </c>
    </row>
    <row r="7" spans="1:3" x14ac:dyDescent="0.25">
      <c r="A7" t="s">
        <v>12</v>
      </c>
      <c r="B7" t="s">
        <v>5</v>
      </c>
      <c r="C7">
        <v>20</v>
      </c>
    </row>
    <row r="8" spans="1:3" x14ac:dyDescent="0.25">
      <c r="A8" t="s">
        <v>12</v>
      </c>
      <c r="B8" t="s">
        <v>6</v>
      </c>
      <c r="C8">
        <v>230</v>
      </c>
    </row>
    <row r="9" spans="1:3" x14ac:dyDescent="0.25">
      <c r="A9" t="s">
        <v>12</v>
      </c>
      <c r="B9" t="s">
        <v>7</v>
      </c>
      <c r="C9">
        <v>150</v>
      </c>
    </row>
    <row r="10" spans="1:3" x14ac:dyDescent="0.25">
      <c r="A10" t="s">
        <v>12</v>
      </c>
      <c r="B10" t="s">
        <v>8</v>
      </c>
      <c r="C10">
        <v>210</v>
      </c>
    </row>
    <row r="11" spans="1:3" x14ac:dyDescent="0.25">
      <c r="A11" t="s">
        <v>12</v>
      </c>
      <c r="B11" t="s">
        <v>9</v>
      </c>
      <c r="C11">
        <v>450</v>
      </c>
    </row>
    <row r="12" spans="1:3" x14ac:dyDescent="0.25">
      <c r="A12" t="s">
        <v>13</v>
      </c>
      <c r="B12" t="s">
        <v>0</v>
      </c>
      <c r="C12">
        <v>260</v>
      </c>
    </row>
    <row r="13" spans="1:3" x14ac:dyDescent="0.25">
      <c r="A13" t="s">
        <v>13</v>
      </c>
      <c r="B13" t="s">
        <v>1</v>
      </c>
      <c r="C13">
        <v>210</v>
      </c>
    </row>
    <row r="14" spans="1:3" x14ac:dyDescent="0.25">
      <c r="A14" t="s">
        <v>13</v>
      </c>
      <c r="B14" t="s">
        <v>2</v>
      </c>
      <c r="C14">
        <v>230</v>
      </c>
    </row>
    <row r="15" spans="1:3" x14ac:dyDescent="0.25">
      <c r="A15" t="s">
        <v>13</v>
      </c>
      <c r="B15" t="s">
        <v>3</v>
      </c>
      <c r="C15">
        <v>370</v>
      </c>
    </row>
    <row r="16" spans="1:3" x14ac:dyDescent="0.25">
      <c r="A16" t="s">
        <v>13</v>
      </c>
      <c r="B16" t="s">
        <v>4</v>
      </c>
      <c r="C16">
        <v>150</v>
      </c>
    </row>
    <row r="17" spans="1:3" x14ac:dyDescent="0.25">
      <c r="A17" t="s">
        <v>13</v>
      </c>
      <c r="B17" t="s">
        <v>5</v>
      </c>
      <c r="C17">
        <v>84</v>
      </c>
    </row>
    <row r="18" spans="1:3" x14ac:dyDescent="0.25">
      <c r="A18" t="s">
        <v>13</v>
      </c>
      <c r="B18" t="s">
        <v>6</v>
      </c>
      <c r="C18">
        <v>210</v>
      </c>
    </row>
    <row r="19" spans="1:3" x14ac:dyDescent="0.25">
      <c r="A19" t="s">
        <v>13</v>
      </c>
      <c r="B19" t="s">
        <v>7</v>
      </c>
      <c r="C19">
        <v>270</v>
      </c>
    </row>
    <row r="20" spans="1:3" x14ac:dyDescent="0.25">
      <c r="A20" t="s">
        <v>13</v>
      </c>
      <c r="B20" t="s">
        <v>8</v>
      </c>
      <c r="C20">
        <v>110</v>
      </c>
    </row>
    <row r="21" spans="1:3" x14ac:dyDescent="0.25">
      <c r="A21" t="s">
        <v>13</v>
      </c>
      <c r="B21" t="s">
        <v>9</v>
      </c>
      <c r="C21">
        <v>500</v>
      </c>
    </row>
    <row r="22" spans="1:3" x14ac:dyDescent="0.25">
      <c r="A22" t="s">
        <v>14</v>
      </c>
      <c r="B22" t="s">
        <v>0</v>
      </c>
      <c r="C22">
        <v>140</v>
      </c>
    </row>
    <row r="23" spans="1:3" x14ac:dyDescent="0.25">
      <c r="A23" t="s">
        <v>14</v>
      </c>
      <c r="B23" t="s">
        <v>1</v>
      </c>
      <c r="C23">
        <v>210</v>
      </c>
    </row>
    <row r="24" spans="1:3" x14ac:dyDescent="0.25">
      <c r="A24" t="s">
        <v>14</v>
      </c>
      <c r="B24" t="s">
        <v>2</v>
      </c>
      <c r="C24">
        <v>150</v>
      </c>
    </row>
    <row r="25" spans="1:3" x14ac:dyDescent="0.25">
      <c r="A25" t="s">
        <v>14</v>
      </c>
      <c r="B25" t="s">
        <v>3</v>
      </c>
      <c r="C25">
        <v>250</v>
      </c>
    </row>
    <row r="26" spans="1:3" x14ac:dyDescent="0.25">
      <c r="A26" t="s">
        <v>14</v>
      </c>
      <c r="B26" t="s">
        <v>4</v>
      </c>
      <c r="C26">
        <v>260</v>
      </c>
    </row>
    <row r="27" spans="1:3" x14ac:dyDescent="0.25">
      <c r="A27" t="s">
        <v>14</v>
      </c>
      <c r="B27" t="s">
        <v>5</v>
      </c>
      <c r="C27">
        <v>58</v>
      </c>
    </row>
    <row r="28" spans="1:3" x14ac:dyDescent="0.25">
      <c r="A28" t="s">
        <v>14</v>
      </c>
      <c r="B28" t="s">
        <v>6</v>
      </c>
      <c r="C28">
        <v>190</v>
      </c>
    </row>
    <row r="29" spans="1:3" x14ac:dyDescent="0.25">
      <c r="A29" t="s">
        <v>14</v>
      </c>
      <c r="B29" t="s">
        <v>7</v>
      </c>
      <c r="C29">
        <v>230</v>
      </c>
    </row>
    <row r="30" spans="1:3" x14ac:dyDescent="0.25">
      <c r="A30" t="s">
        <v>14</v>
      </c>
      <c r="B30" t="s">
        <v>8</v>
      </c>
      <c r="C30">
        <v>240</v>
      </c>
    </row>
    <row r="31" spans="1:3" x14ac:dyDescent="0.25">
      <c r="A31" t="s">
        <v>14</v>
      </c>
      <c r="B31" t="s">
        <v>9</v>
      </c>
      <c r="C31">
        <v>380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F20" sqref="F20"/>
    </sheetView>
  </sheetViews>
  <sheetFormatPr defaultRowHeight="15" x14ac:dyDescent="0.25"/>
  <cols>
    <col min="1" max="1" width="10.140625" customWidth="1"/>
    <col min="2" max="2" width="14.140625" customWidth="1"/>
  </cols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12</v>
      </c>
      <c r="B2" t="s">
        <v>1</v>
      </c>
      <c r="C2">
        <v>110</v>
      </c>
    </row>
    <row r="3" spans="1:3" x14ac:dyDescent="0.25">
      <c r="A3" t="s">
        <v>12</v>
      </c>
      <c r="B3" t="s">
        <v>2</v>
      </c>
      <c r="C3">
        <v>120</v>
      </c>
    </row>
    <row r="4" spans="1:3" x14ac:dyDescent="0.25">
      <c r="A4" t="s">
        <v>12</v>
      </c>
      <c r="B4" t="s">
        <v>7</v>
      </c>
      <c r="C4">
        <v>150</v>
      </c>
    </row>
    <row r="5" spans="1:3" x14ac:dyDescent="0.25">
      <c r="A5" t="s">
        <v>12</v>
      </c>
      <c r="B5" t="s">
        <v>4</v>
      </c>
      <c r="C5">
        <v>190</v>
      </c>
    </row>
    <row r="6" spans="1:3" x14ac:dyDescent="0.25">
      <c r="A6" t="s">
        <v>12</v>
      </c>
      <c r="B6" t="s">
        <v>5</v>
      </c>
      <c r="C6">
        <v>20</v>
      </c>
    </row>
    <row r="7" spans="1:3" x14ac:dyDescent="0.25">
      <c r="A7" t="s">
        <v>13</v>
      </c>
      <c r="B7" t="s">
        <v>4</v>
      </c>
      <c r="C7">
        <v>150</v>
      </c>
    </row>
    <row r="8" spans="1:3" x14ac:dyDescent="0.25">
      <c r="A8" t="s">
        <v>13</v>
      </c>
      <c r="B8" t="s">
        <v>6</v>
      </c>
      <c r="C8">
        <v>210</v>
      </c>
    </row>
    <row r="9" spans="1:3" x14ac:dyDescent="0.25">
      <c r="A9" t="s">
        <v>13</v>
      </c>
      <c r="B9" t="s">
        <v>5</v>
      </c>
      <c r="C9">
        <v>84</v>
      </c>
    </row>
    <row r="10" spans="1:3" x14ac:dyDescent="0.25">
      <c r="A10" t="s">
        <v>13</v>
      </c>
      <c r="B10" t="s">
        <v>8</v>
      </c>
      <c r="C10">
        <v>110</v>
      </c>
    </row>
    <row r="11" spans="1:3" x14ac:dyDescent="0.25">
      <c r="A11" t="s">
        <v>14</v>
      </c>
      <c r="B11" t="s">
        <v>0</v>
      </c>
      <c r="C11">
        <v>140</v>
      </c>
    </row>
    <row r="12" spans="1:3" x14ac:dyDescent="0.25">
      <c r="A12" t="s">
        <v>14</v>
      </c>
      <c r="B12" t="s">
        <v>3</v>
      </c>
      <c r="C12">
        <v>250</v>
      </c>
    </row>
    <row r="13" spans="1:3" x14ac:dyDescent="0.25">
      <c r="A13" t="s">
        <v>14</v>
      </c>
      <c r="B13" t="s">
        <v>5</v>
      </c>
      <c r="C13">
        <v>58</v>
      </c>
    </row>
    <row r="14" spans="1:3" x14ac:dyDescent="0.25">
      <c r="A14" t="s">
        <v>14</v>
      </c>
      <c r="B14" t="s">
        <v>6</v>
      </c>
      <c r="C14">
        <v>190</v>
      </c>
    </row>
    <row r="15" spans="1:3" x14ac:dyDescent="0.25">
      <c r="A15" t="s">
        <v>14</v>
      </c>
      <c r="B15" t="s">
        <v>9</v>
      </c>
      <c r="C15">
        <v>380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D30" sqref="D30"/>
    </sheetView>
  </sheetViews>
  <sheetFormatPr defaultRowHeight="15" x14ac:dyDescent="0.25"/>
  <cols>
    <col min="1" max="1" width="15.85546875" customWidth="1"/>
    <col min="2" max="2" width="8.85546875" customWidth="1"/>
    <col min="3" max="3" width="7" customWidth="1"/>
    <col min="4" max="4" width="6.5703125" customWidth="1"/>
    <col min="5" max="5" width="11.85546875" bestFit="1" customWidth="1"/>
  </cols>
  <sheetData>
    <row r="1" spans="1:5" x14ac:dyDescent="0.25">
      <c r="A1" s="2" t="s">
        <v>28</v>
      </c>
      <c r="B1" s="2" t="s">
        <v>30</v>
      </c>
    </row>
    <row r="2" spans="1:5" x14ac:dyDescent="0.25">
      <c r="A2" s="2" t="s">
        <v>29</v>
      </c>
      <c r="B2" t="s">
        <v>14</v>
      </c>
      <c r="C2" t="s">
        <v>12</v>
      </c>
      <c r="D2" t="s">
        <v>13</v>
      </c>
      <c r="E2" t="s">
        <v>26</v>
      </c>
    </row>
    <row r="3" spans="1:5" x14ac:dyDescent="0.25">
      <c r="A3" s="3" t="s">
        <v>0</v>
      </c>
      <c r="B3" s="4">
        <v>100</v>
      </c>
      <c r="C3" s="4"/>
      <c r="D3" s="4"/>
      <c r="E3" s="4">
        <v>100</v>
      </c>
    </row>
    <row r="4" spans="1:5" x14ac:dyDescent="0.25">
      <c r="A4" s="3" t="s">
        <v>1</v>
      </c>
      <c r="B4" s="4"/>
      <c r="C4" s="4">
        <v>50</v>
      </c>
      <c r="D4" s="4"/>
      <c r="E4" s="4">
        <v>50</v>
      </c>
    </row>
    <row r="5" spans="1:5" x14ac:dyDescent="0.25">
      <c r="A5" s="3" t="s">
        <v>2</v>
      </c>
      <c r="B5" s="4"/>
      <c r="C5" s="4">
        <v>50</v>
      </c>
      <c r="D5" s="4"/>
      <c r="E5" s="4">
        <v>50</v>
      </c>
    </row>
    <row r="6" spans="1:5" x14ac:dyDescent="0.25">
      <c r="A6" s="3" t="s">
        <v>3</v>
      </c>
      <c r="B6" s="4">
        <v>100</v>
      </c>
      <c r="C6" s="4"/>
      <c r="D6" s="4"/>
      <c r="E6" s="4">
        <v>100</v>
      </c>
    </row>
    <row r="7" spans="1:5" x14ac:dyDescent="0.25">
      <c r="A7" s="3" t="s">
        <v>4</v>
      </c>
      <c r="B7" s="4"/>
      <c r="C7" s="4"/>
      <c r="D7" s="4">
        <v>80</v>
      </c>
      <c r="E7" s="4">
        <v>80</v>
      </c>
    </row>
    <row r="8" spans="1:5" x14ac:dyDescent="0.25">
      <c r="A8" s="3" t="s">
        <v>5</v>
      </c>
      <c r="B8" s="4">
        <v>500</v>
      </c>
      <c r="C8" s="4">
        <v>200</v>
      </c>
      <c r="D8" s="4">
        <v>100</v>
      </c>
      <c r="E8" s="4">
        <v>800</v>
      </c>
    </row>
    <row r="9" spans="1:5" x14ac:dyDescent="0.25">
      <c r="A9" s="3" t="s">
        <v>9</v>
      </c>
      <c r="B9" s="4">
        <v>300</v>
      </c>
      <c r="C9" s="4"/>
      <c r="D9" s="4"/>
      <c r="E9" s="4">
        <v>300</v>
      </c>
    </row>
    <row r="10" spans="1:5" x14ac:dyDescent="0.25">
      <c r="A10" s="3" t="s">
        <v>6</v>
      </c>
      <c r="B10" s="4"/>
      <c r="C10" s="4"/>
      <c r="D10" s="4">
        <v>120</v>
      </c>
      <c r="E10" s="4">
        <v>120</v>
      </c>
    </row>
    <row r="11" spans="1:5" x14ac:dyDescent="0.25">
      <c r="A11" s="3" t="s">
        <v>7</v>
      </c>
      <c r="B11" s="4"/>
      <c r="C11" s="4">
        <v>200</v>
      </c>
      <c r="D11" s="4"/>
      <c r="E11" s="4">
        <v>200</v>
      </c>
    </row>
    <row r="12" spans="1:5" x14ac:dyDescent="0.25">
      <c r="A12" s="3" t="s">
        <v>8</v>
      </c>
      <c r="B12" s="4"/>
      <c r="C12" s="4"/>
      <c r="D12" s="4">
        <v>200</v>
      </c>
      <c r="E12" s="4">
        <v>200</v>
      </c>
    </row>
    <row r="13" spans="1:5" x14ac:dyDescent="0.25">
      <c r="A13" s="3" t="s">
        <v>26</v>
      </c>
      <c r="B13" s="4">
        <v>1000</v>
      </c>
      <c r="C13" s="4">
        <v>500</v>
      </c>
      <c r="D13" s="4">
        <v>500</v>
      </c>
      <c r="E13" s="4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selection activeCell="E34" sqref="E34"/>
    </sheetView>
  </sheetViews>
  <sheetFormatPr defaultRowHeight="15" x14ac:dyDescent="0.25"/>
  <cols>
    <col min="1" max="1" width="22.42578125" bestFit="1" customWidth="1"/>
    <col min="2" max="2" width="20.85546875" bestFit="1" customWidth="1"/>
    <col min="3" max="3" width="13.42578125" customWidth="1"/>
    <col min="4" max="4" width="6.7109375" customWidth="1"/>
    <col min="5" max="5" width="8.85546875" customWidth="1"/>
    <col min="6" max="6" width="7" customWidth="1"/>
    <col min="7" max="7" width="7.85546875" customWidth="1"/>
    <col min="8" max="8" width="8.42578125" customWidth="1"/>
    <col min="9" max="9" width="7.140625" customWidth="1"/>
    <col min="10" max="11" width="6.42578125" customWidth="1"/>
    <col min="12" max="12" width="11.85546875" bestFit="1" customWidth="1"/>
  </cols>
  <sheetData>
    <row r="1" spans="1:12" x14ac:dyDescent="0.25">
      <c r="A1" s="2" t="s">
        <v>31</v>
      </c>
      <c r="B1" s="2" t="s">
        <v>25</v>
      </c>
    </row>
    <row r="2" spans="1:12" x14ac:dyDescent="0.25">
      <c r="A2" s="2" t="s">
        <v>27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9</v>
      </c>
      <c r="I2" t="s">
        <v>6</v>
      </c>
      <c r="J2" t="s">
        <v>7</v>
      </c>
      <c r="K2" t="s">
        <v>8</v>
      </c>
      <c r="L2" t="s">
        <v>26</v>
      </c>
    </row>
    <row r="3" spans="1:12" x14ac:dyDescent="0.25">
      <c r="A3" s="3" t="s">
        <v>14</v>
      </c>
      <c r="B3" s="5">
        <v>14000</v>
      </c>
      <c r="C3" s="5"/>
      <c r="D3" s="5"/>
      <c r="E3" s="5">
        <v>25000</v>
      </c>
      <c r="F3" s="5"/>
      <c r="G3" s="5">
        <v>29000</v>
      </c>
      <c r="H3" s="5">
        <v>114000</v>
      </c>
      <c r="I3" s="5"/>
      <c r="J3" s="5"/>
      <c r="K3" s="5"/>
      <c r="L3" s="5">
        <v>182000</v>
      </c>
    </row>
    <row r="4" spans="1:12" x14ac:dyDescent="0.25">
      <c r="A4" s="3" t="s">
        <v>12</v>
      </c>
      <c r="B4" s="5"/>
      <c r="C4" s="5">
        <v>5500</v>
      </c>
      <c r="D4" s="5">
        <v>6000</v>
      </c>
      <c r="E4" s="5"/>
      <c r="F4" s="5"/>
      <c r="G4" s="5">
        <v>4000</v>
      </c>
      <c r="H4" s="5"/>
      <c r="I4" s="5"/>
      <c r="J4" s="5">
        <v>30000</v>
      </c>
      <c r="K4" s="5"/>
      <c r="L4" s="5">
        <v>45500</v>
      </c>
    </row>
    <row r="5" spans="1:12" x14ac:dyDescent="0.25">
      <c r="A5" s="3" t="s">
        <v>13</v>
      </c>
      <c r="B5" s="5"/>
      <c r="C5" s="5"/>
      <c r="D5" s="5"/>
      <c r="E5" s="5"/>
      <c r="F5" s="5">
        <v>12000</v>
      </c>
      <c r="G5" s="5">
        <v>8400</v>
      </c>
      <c r="H5" s="5"/>
      <c r="I5" s="5">
        <v>25200</v>
      </c>
      <c r="J5" s="5"/>
      <c r="K5" s="5">
        <v>22000</v>
      </c>
      <c r="L5" s="5">
        <v>67600</v>
      </c>
    </row>
    <row r="6" spans="1:12" x14ac:dyDescent="0.25">
      <c r="A6" s="3" t="s">
        <v>26</v>
      </c>
      <c r="B6" s="5">
        <v>14000</v>
      </c>
      <c r="C6" s="5">
        <v>5500</v>
      </c>
      <c r="D6" s="5">
        <v>6000</v>
      </c>
      <c r="E6" s="5">
        <v>25000</v>
      </c>
      <c r="F6" s="5">
        <v>12000</v>
      </c>
      <c r="G6" s="5">
        <v>41400</v>
      </c>
      <c r="H6" s="5">
        <v>114000</v>
      </c>
      <c r="I6" s="5">
        <v>25200</v>
      </c>
      <c r="J6" s="5">
        <v>30000</v>
      </c>
      <c r="K6" s="5">
        <v>22000</v>
      </c>
      <c r="L6" s="5">
        <v>295100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K13" sqref="K13"/>
    </sheetView>
  </sheetViews>
  <sheetFormatPr defaultRowHeight="15" x14ac:dyDescent="0.25"/>
  <cols>
    <col min="1" max="1" width="11.28515625" customWidth="1"/>
    <col min="2" max="2" width="14.42578125" customWidth="1"/>
  </cols>
  <sheetData>
    <row r="1" spans="1:4" x14ac:dyDescent="0.25">
      <c r="A1" s="1" t="s">
        <v>21</v>
      </c>
      <c r="B1" s="1" t="s">
        <v>22</v>
      </c>
      <c r="C1" s="1" t="s">
        <v>23</v>
      </c>
      <c r="D1" s="1" t="s">
        <v>24</v>
      </c>
    </row>
    <row r="2" spans="1:4" x14ac:dyDescent="0.25">
      <c r="A2" s="1" t="s">
        <v>12</v>
      </c>
      <c r="B2" s="1" t="s">
        <v>1</v>
      </c>
      <c r="C2">
        <v>50</v>
      </c>
      <c r="D2">
        <v>5500</v>
      </c>
    </row>
    <row r="3" spans="1:4" x14ac:dyDescent="0.25">
      <c r="A3" s="1" t="s">
        <v>12</v>
      </c>
      <c r="B3" s="1" t="s">
        <v>2</v>
      </c>
      <c r="C3">
        <v>50</v>
      </c>
      <c r="D3">
        <v>6000</v>
      </c>
    </row>
    <row r="4" spans="1:4" x14ac:dyDescent="0.25">
      <c r="A4" s="1" t="s">
        <v>12</v>
      </c>
      <c r="B4" s="1" t="s">
        <v>7</v>
      </c>
      <c r="C4">
        <v>200</v>
      </c>
      <c r="D4">
        <v>30000</v>
      </c>
    </row>
    <row r="5" spans="1:4" x14ac:dyDescent="0.25">
      <c r="A5" s="1" t="s">
        <v>12</v>
      </c>
      <c r="B5" s="1" t="s">
        <v>5</v>
      </c>
      <c r="C5">
        <v>200</v>
      </c>
      <c r="D5">
        <v>4000</v>
      </c>
    </row>
    <row r="6" spans="1:4" x14ac:dyDescent="0.25">
      <c r="A6" s="1" t="s">
        <v>13</v>
      </c>
      <c r="B6" s="1" t="s">
        <v>4</v>
      </c>
      <c r="C6">
        <v>80</v>
      </c>
      <c r="D6">
        <v>12000</v>
      </c>
    </row>
    <row r="7" spans="1:4" x14ac:dyDescent="0.25">
      <c r="A7" s="1" t="s">
        <v>13</v>
      </c>
      <c r="B7" s="1" t="s">
        <v>6</v>
      </c>
      <c r="C7">
        <v>120</v>
      </c>
      <c r="D7">
        <v>25200</v>
      </c>
    </row>
    <row r="8" spans="1:4" x14ac:dyDescent="0.25">
      <c r="A8" s="1" t="s">
        <v>13</v>
      </c>
      <c r="B8" s="1" t="s">
        <v>5</v>
      </c>
      <c r="C8">
        <v>100</v>
      </c>
      <c r="D8">
        <v>8400</v>
      </c>
    </row>
    <row r="9" spans="1:4" x14ac:dyDescent="0.25">
      <c r="A9" s="1" t="s">
        <v>13</v>
      </c>
      <c r="B9" s="1" t="s">
        <v>8</v>
      </c>
      <c r="C9">
        <v>200</v>
      </c>
      <c r="D9">
        <v>22000</v>
      </c>
    </row>
    <row r="10" spans="1:4" x14ac:dyDescent="0.25">
      <c r="A10" s="1" t="s">
        <v>14</v>
      </c>
      <c r="B10" s="1" t="s">
        <v>0</v>
      </c>
      <c r="C10">
        <v>100</v>
      </c>
      <c r="D10">
        <v>14000</v>
      </c>
    </row>
    <row r="11" spans="1:4" x14ac:dyDescent="0.25">
      <c r="A11" s="1" t="s">
        <v>14</v>
      </c>
      <c r="B11" s="1" t="s">
        <v>3</v>
      </c>
      <c r="C11">
        <v>100</v>
      </c>
      <c r="D11">
        <v>25000</v>
      </c>
    </row>
    <row r="12" spans="1:4" x14ac:dyDescent="0.25">
      <c r="A12" s="1" t="s">
        <v>14</v>
      </c>
      <c r="B12" s="1" t="s">
        <v>5</v>
      </c>
      <c r="C12">
        <v>500</v>
      </c>
      <c r="D12">
        <v>29000</v>
      </c>
    </row>
    <row r="13" spans="1:4" x14ac:dyDescent="0.25">
      <c r="A13" s="1" t="s">
        <v>14</v>
      </c>
      <c r="B13" s="1" t="s">
        <v>9</v>
      </c>
      <c r="C13">
        <v>300</v>
      </c>
      <c r="D13">
        <v>114000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D15" sqref="D15"/>
    </sheetView>
  </sheetViews>
  <sheetFormatPr defaultRowHeight="15" x14ac:dyDescent="0.25"/>
  <cols>
    <col min="1" max="1" width="34.42578125" bestFit="1" customWidth="1"/>
    <col min="2" max="2" width="20.85546875" bestFit="1" customWidth="1"/>
    <col min="3" max="3" width="7" customWidth="1"/>
    <col min="4" max="4" width="6.5703125" customWidth="1"/>
    <col min="5" max="5" width="11.85546875" bestFit="1" customWidth="1"/>
  </cols>
  <sheetData>
    <row r="1" spans="1:5" x14ac:dyDescent="0.25">
      <c r="B1" s="2" t="s">
        <v>25</v>
      </c>
    </row>
    <row r="2" spans="1:5" x14ac:dyDescent="0.25">
      <c r="B2" t="s">
        <v>14</v>
      </c>
      <c r="C2" t="s">
        <v>12</v>
      </c>
      <c r="D2" t="s">
        <v>13</v>
      </c>
      <c r="E2" t="s">
        <v>26</v>
      </c>
    </row>
    <row r="3" spans="1:5" x14ac:dyDescent="0.25">
      <c r="A3" t="s">
        <v>32</v>
      </c>
      <c r="B3" s="5">
        <v>182000</v>
      </c>
      <c r="C3" s="5">
        <v>45500</v>
      </c>
      <c r="D3" s="5">
        <v>67600</v>
      </c>
      <c r="E3" s="5">
        <v>295100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parameters</vt:lpstr>
      <vt:lpstr>markets</vt:lpstr>
      <vt:lpstr>warehouses</vt:lpstr>
      <vt:lpstr>all_routes</vt:lpstr>
      <vt:lpstr>selected_routes</vt:lpstr>
      <vt:lpstr>Структура поставок</vt:lpstr>
      <vt:lpstr>Структура затрат</vt:lpstr>
      <vt:lpstr>SolutionRpt</vt:lpstr>
      <vt:lpstr>Затраты по складам</vt:lpstr>
      <vt:lpstr>SolutionRpt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2017-04-11T22:12:06Z</dcterms:modified>
</cp:coreProperties>
</file>