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W:\github\ampl_examples\sweetrussia\"/>
    </mc:Choice>
  </mc:AlternateContent>
  <xr:revisionPtr revIDLastSave="0" documentId="13_ncr:1_{5DEDF801-5F11-40B4-880D-AEF91189A324}" xr6:coauthVersionLast="47" xr6:coauthVersionMax="47" xr10:uidLastSave="{00000000-0000-0000-0000-000000000000}"/>
  <bookViews>
    <workbookView xWindow="38280" yWindow="5280" windowWidth="29040" windowHeight="15720" tabRatio="662" activeTab="2" xr2:uid="{00000000-000D-0000-FFFF-FFFF00000000}"/>
  </bookViews>
  <sheets>
    <sheet name="Постановка задачи" sheetId="3" r:id="rId1"/>
    <sheet name="customers" sheetId="1" r:id="rId2"/>
    <sheet name="plants" sheetId="2" r:id="rId3"/>
    <sheet name="Как получить координаты" sheetId="5" r:id="rId4"/>
    <sheet name="rpt_example" sheetId="8" r:id="rId5"/>
  </sheets>
  <definedNames>
    <definedName name="rpt_open">#REF!</definedName>
    <definedName name="rpt_routes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3" l="1"/>
  <c r="B29" i="3"/>
</calcChain>
</file>

<file path=xl/sharedStrings.xml><?xml version="1.0" encoding="utf-8"?>
<sst xmlns="http://schemas.openxmlformats.org/spreadsheetml/2006/main" count="271" uniqueCount="84">
  <si>
    <t>Архангельск</t>
  </si>
  <si>
    <t>Владимир</t>
  </si>
  <si>
    <t>Вологда</t>
  </si>
  <si>
    <t>Воронеж</t>
  </si>
  <si>
    <t>Екатеринбург</t>
  </si>
  <si>
    <t>Казань</t>
  </si>
  <si>
    <t>Курск</t>
  </si>
  <si>
    <t>Москва</t>
  </si>
  <si>
    <t>Нижний Новгород</t>
  </si>
  <si>
    <t>Великий Новгород</t>
  </si>
  <si>
    <t>Орел</t>
  </si>
  <si>
    <t>Пермь</t>
  </si>
  <si>
    <t>Петрозаводск</t>
  </si>
  <si>
    <t>Ростов-на-Дону</t>
  </si>
  <si>
    <t>Самара</t>
  </si>
  <si>
    <t>Санкт-Петербург</t>
  </si>
  <si>
    <t>Саратов</t>
  </si>
  <si>
    <t>Смоленск</t>
  </si>
  <si>
    <t>Сочи</t>
  </si>
  <si>
    <t>Челябинск</t>
  </si>
  <si>
    <t>Ярославль</t>
  </si>
  <si>
    <t>Тимашевск</t>
  </si>
  <si>
    <t>capacity</t>
  </si>
  <si>
    <t>city</t>
  </si>
  <si>
    <t>plant</t>
  </si>
  <si>
    <t>latitude</t>
  </si>
  <si>
    <t>longitude</t>
  </si>
  <si>
    <t>demand</t>
  </si>
  <si>
    <t>Производитель продуктов питания располагает мощностями по производству сгущенки, расположенными</t>
  </si>
  <si>
    <t xml:space="preserve">в г. Тимашевск и г. Ярославль. Продукция этих заводов доставляется покупателям. </t>
  </si>
  <si>
    <t>Данные о размещении покупателей и прогноз спроса даны в таблице.</t>
  </si>
  <si>
    <t>Покупатель</t>
  </si>
  <si>
    <t>Спрос, т</t>
  </si>
  <si>
    <t>Новгород</t>
  </si>
  <si>
    <t>Итог</t>
  </si>
  <si>
    <t>Заводы</t>
  </si>
  <si>
    <t>Мощность</t>
  </si>
  <si>
    <t>Требуется:</t>
  </si>
  <si>
    <t>Чтобы покрыть спрос, принято решение открыть еще один завод мощностью 20 000 т</t>
  </si>
  <si>
    <t>Как получить координаты в Yandex Maps:</t>
  </si>
  <si>
    <t>1. Зайдите на сайт maps.yandex.ru</t>
  </si>
  <si>
    <t>2. Нажмите правую кнопку мыши в выбранной точке (также можно выбрать метку или воспользоваться поиском по названию)</t>
  </si>
  <si>
    <t>3. Из контекстного меню карты выберите пункт "Что здесь"</t>
  </si>
  <si>
    <t>4. Перепишите координаты в градусах из информационной панели в левой части экрана</t>
  </si>
  <si>
    <t xml:space="preserve">Примечание. Достаточно указывать коордитнаты с точностью 2 знака после запятой. </t>
  </si>
  <si>
    <t>1 градус широты примерно равен 111 км, поэтому 0.01 градуса даст ошибку порядка 1 км</t>
  </si>
  <si>
    <t>Транспортный тариф составляет 3 рубля за 1 т-км</t>
  </si>
  <si>
    <t>Задача размещения завода</t>
  </si>
  <si>
    <t>по критерию наименьших общих затрат на транспортировку</t>
  </si>
  <si>
    <t>1) Определить, в каком городе наиболее выгодно разместить новый завод</t>
  </si>
  <si>
    <t>2) Определить, с какого завода должна поставляться продукция каждому покупателю</t>
  </si>
  <si>
    <t>Исходные данные в подготовленном для модели формате содержатся в файле на вкладках customers и plants</t>
  </si>
  <si>
    <t>Минимальное и максимальное число заводов следует сделать параметрами модели</t>
  </si>
  <si>
    <t>Также необходимо предусмотреть, что выбранные заводы можно будет принудительно открыть</t>
  </si>
  <si>
    <t>3) Сохранить отчет по решению в виде таблицы в Excel</t>
  </si>
  <si>
    <t>4) Визуализировать в Tableau результаты решения - структуру затрат и карту размещения объектов и потоков</t>
  </si>
  <si>
    <t>market</t>
  </si>
  <si>
    <t>step</t>
  </si>
  <si>
    <t>route_id</t>
  </si>
  <si>
    <t>ship</t>
  </si>
  <si>
    <t>cost</t>
  </si>
  <si>
    <t>size</t>
  </si>
  <si>
    <t>location</t>
  </si>
  <si>
    <t>Казань - Екатеринбург</t>
  </si>
  <si>
    <t>Казань - Казань</t>
  </si>
  <si>
    <t>Казань - Нижний Новгород</t>
  </si>
  <si>
    <t>Казань - Пермь</t>
  </si>
  <si>
    <t>Казань - Самара</t>
  </si>
  <si>
    <t>Казань - Саратов</t>
  </si>
  <si>
    <t>Казань - Челябинск</t>
  </si>
  <si>
    <t>Великий Новгород - Архангельск</t>
  </si>
  <si>
    <t>Великий Новгород - Владимир</t>
  </si>
  <si>
    <t>Великий Новгород - Вологда</t>
  </si>
  <si>
    <t>Великий Новгород - Великий Новгород</t>
  </si>
  <si>
    <t>Великий Новгород - Петрозаводск</t>
  </si>
  <si>
    <t>Великий Новгород - Санкт-Петербург</t>
  </si>
  <si>
    <t>Великий Новгород - Смоленск</t>
  </si>
  <si>
    <t>Орел - Воронеж</t>
  </si>
  <si>
    <t>Орел - Курск</t>
  </si>
  <si>
    <t>Орел - Москва</t>
  </si>
  <si>
    <t>Орел - Орел</t>
  </si>
  <si>
    <t>Орел - Ростов-на-Дону</t>
  </si>
  <si>
    <t>Орел - Сочи</t>
  </si>
  <si>
    <t>force_open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</si>
</sst>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quotePrefix="1"/>
    <xf numFmtId="164" fontId="0" fillId="0" borderId="0" xfId="0" quotePrefix="1" applyNumberFormat="1"/>
    <xf numFmtId="2" fontId="0" fillId="0" borderId="0" xfId="0" quotePrefix="1" applyNumberFormat="1"/>
    <xf numFmtId="0" fontId="2" fillId="2" borderId="0" xfId="0" applyFont="1" applyFill="1"/>
    <xf numFmtId="0" fontId="0" fillId="2" borderId="0" xfId="0" applyFill="1"/>
    <xf numFmtId="0" fontId="1" fillId="2" borderId="0" xfId="0" applyFont="1" applyFill="1"/>
    <xf numFmtId="0" fontId="3" fillId="0" borderId="0" xfId="1"/>
    <xf numFmtId="1" fontId="0" fillId="0" borderId="0" xfId="0" applyNumberFormat="1"/>
    <xf numFmtId="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2" fontId="0" fillId="2" borderId="0" xfId="0" applyNumberForma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223631</xdr:colOff>
      <xdr:row>6</xdr:row>
      <xdr:rowOff>82827</xdr:rowOff>
    </xdr:from>
    <xdr:to>
      <xdr:col>13</xdr:col>
      <xdr:colOff>240197</xdr:colOff>
      <xdr:row>35</xdr:row>
      <xdr:rowOff>120232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28C5AF3-9BEA-4A34-AB5F-2A559ADB57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709"/>
        <a:stretch/>
      </xdr:blipFill>
      <xdr:spPr>
        <a:xfrm>
          <a:off x="2261153" y="1275523"/>
          <a:ext cx="6965674" cy="5561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919369</xdr:colOff>
      <xdr:row>4</xdr:row>
      <xdr:rowOff>99392</xdr:rowOff>
    </xdr:from>
    <xdr:ext cx="2600000" cy="1552381"/>
    <xdr:pic>
      <xdr:nvPicPr>
        <xdr:cNvPr id="2" name="Рисунок 1">
          <a:extLst>
            <a:ext uri="{FF2B5EF4-FFF2-40B4-BE49-F238E27FC236}">
              <a16:creationId xmlns:a16="http://schemas.microsoft.com/office/drawing/2014/main" id="{FD49BEFE-96FB-4DDC-90C3-D655A678E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9369" y="10434017"/>
          <a:ext cx="2600000" cy="1552381"/>
        </a:xfrm>
        <a:prstGeom prst="rect">
          <a:avLst/>
        </a:prstGeom>
      </xdr:spPr>
    </xdr:pic>
    <xdr:clientData/>
  </xdr:oneCellAnchor>
  <xdr:oneCellAnchor>
    <xdr:from>
      <xdr:col>0</xdr:col>
      <xdr:colOff>869673</xdr:colOff>
      <xdr:row>14</xdr:row>
      <xdr:rowOff>16564</xdr:rowOff>
    </xdr:from>
    <xdr:ext cx="2180953" cy="1885714"/>
    <xdr:pic>
      <xdr:nvPicPr>
        <xdr:cNvPr id="3" name="Рисунок 2">
          <a:extLst>
            <a:ext uri="{FF2B5EF4-FFF2-40B4-BE49-F238E27FC236}">
              <a16:creationId xmlns:a16="http://schemas.microsoft.com/office/drawing/2014/main" id="{20FC2EAA-2C0E-41FB-800B-EB90F4C52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9673" y="12256189"/>
          <a:ext cx="2180953" cy="1885714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8:B29" totalsRowCount="1">
  <autoFilter ref="A8:B28" xr:uid="{00000000-0009-0000-0100-000001000000}"/>
  <tableColumns count="2">
    <tableColumn id="1" xr3:uid="{00000000-0010-0000-0000-000001000000}" name="Покупатель" totalsRowLabel="Итог"/>
    <tableColumn id="2" xr3:uid="{00000000-0010-0000-0000-000002000000}" name="Спрос, т" totalsRowFunction="su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A31:B34" totalsRowCount="1">
  <autoFilter ref="A31:B33" xr:uid="{00000000-0009-0000-0100-000002000000}"/>
  <tableColumns count="2">
    <tableColumn id="1" xr3:uid="{00000000-0010-0000-0100-000001000000}" name="Заводы" totalsRowLabel="Итог"/>
    <tableColumn id="2" xr3:uid="{00000000-0010-0000-0100-000002000000}" name="Мощность" totalsRowFunction="sum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2"/>
  <sheetViews>
    <sheetView topLeftCell="A20" zoomScale="115" zoomScaleNormal="115" workbookViewId="0">
      <selection activeCell="A42" sqref="A42:A50"/>
    </sheetView>
  </sheetViews>
  <sheetFormatPr defaultColWidth="9.109375" defaultRowHeight="14.4" x14ac:dyDescent="0.3"/>
  <cols>
    <col min="1" max="1" width="18.33203125" style="5" customWidth="1"/>
    <col min="2" max="2" width="12.33203125" style="5" customWidth="1"/>
    <col min="3" max="4" width="9.109375" style="5"/>
    <col min="5" max="5" width="12.33203125" style="5" customWidth="1"/>
    <col min="6" max="16384" width="9.109375" style="5"/>
  </cols>
  <sheetData>
    <row r="1" spans="1:2" ht="18" x14ac:dyDescent="0.35">
      <c r="A1" s="4" t="s">
        <v>47</v>
      </c>
    </row>
    <row r="3" spans="1:2" x14ac:dyDescent="0.3">
      <c r="A3" s="5" t="s">
        <v>28</v>
      </c>
    </row>
    <row r="4" spans="1:2" x14ac:dyDescent="0.3">
      <c r="A4" s="5" t="s">
        <v>29</v>
      </c>
    </row>
    <row r="5" spans="1:2" x14ac:dyDescent="0.3">
      <c r="A5" s="5" t="s">
        <v>30</v>
      </c>
    </row>
    <row r="6" spans="1:2" x14ac:dyDescent="0.3">
      <c r="A6" s="6"/>
      <c r="B6" s="7"/>
    </row>
    <row r="8" spans="1:2" x14ac:dyDescent="0.3">
      <c r="A8" t="s">
        <v>31</v>
      </c>
      <c r="B8" t="s">
        <v>32</v>
      </c>
    </row>
    <row r="9" spans="1:2" x14ac:dyDescent="0.3">
      <c r="A9" t="s">
        <v>0</v>
      </c>
      <c r="B9">
        <v>2500</v>
      </c>
    </row>
    <row r="10" spans="1:2" x14ac:dyDescent="0.3">
      <c r="A10" t="s">
        <v>1</v>
      </c>
      <c r="B10">
        <v>2500</v>
      </c>
    </row>
    <row r="11" spans="1:2" x14ac:dyDescent="0.3">
      <c r="A11" t="s">
        <v>2</v>
      </c>
      <c r="B11">
        <v>2500</v>
      </c>
    </row>
    <row r="12" spans="1:2" x14ac:dyDescent="0.3">
      <c r="A12" t="s">
        <v>3</v>
      </c>
      <c r="B12">
        <v>2500</v>
      </c>
    </row>
    <row r="13" spans="1:2" x14ac:dyDescent="0.3">
      <c r="A13" t="s">
        <v>4</v>
      </c>
      <c r="B13">
        <v>2500</v>
      </c>
    </row>
    <row r="14" spans="1:2" x14ac:dyDescent="0.3">
      <c r="A14" t="s">
        <v>5</v>
      </c>
      <c r="B14">
        <v>5000</v>
      </c>
    </row>
    <row r="15" spans="1:2" x14ac:dyDescent="0.3">
      <c r="A15" t="s">
        <v>6</v>
      </c>
      <c r="B15">
        <v>2500</v>
      </c>
    </row>
    <row r="16" spans="1:2" x14ac:dyDescent="0.3">
      <c r="A16" t="s">
        <v>7</v>
      </c>
      <c r="B16">
        <v>7500</v>
      </c>
    </row>
    <row r="17" spans="1:2" x14ac:dyDescent="0.3">
      <c r="A17" t="s">
        <v>8</v>
      </c>
      <c r="B17">
        <v>2500</v>
      </c>
    </row>
    <row r="18" spans="1:2" x14ac:dyDescent="0.3">
      <c r="A18" t="s">
        <v>33</v>
      </c>
      <c r="B18">
        <v>2500</v>
      </c>
    </row>
    <row r="19" spans="1:2" x14ac:dyDescent="0.3">
      <c r="A19" t="s">
        <v>10</v>
      </c>
      <c r="B19">
        <v>2500</v>
      </c>
    </row>
    <row r="20" spans="1:2" x14ac:dyDescent="0.3">
      <c r="A20" t="s">
        <v>11</v>
      </c>
      <c r="B20">
        <v>2500</v>
      </c>
    </row>
    <row r="21" spans="1:2" x14ac:dyDescent="0.3">
      <c r="A21" t="s">
        <v>12</v>
      </c>
      <c r="B21">
        <v>2500</v>
      </c>
    </row>
    <row r="22" spans="1:2" x14ac:dyDescent="0.3">
      <c r="A22" t="s">
        <v>13</v>
      </c>
      <c r="B22">
        <v>2500</v>
      </c>
    </row>
    <row r="23" spans="1:2" x14ac:dyDescent="0.3">
      <c r="A23" t="s">
        <v>14</v>
      </c>
      <c r="B23">
        <v>2500</v>
      </c>
    </row>
    <row r="24" spans="1:2" x14ac:dyDescent="0.3">
      <c r="A24" t="s">
        <v>15</v>
      </c>
      <c r="B24">
        <v>5000</v>
      </c>
    </row>
    <row r="25" spans="1:2" x14ac:dyDescent="0.3">
      <c r="A25" t="s">
        <v>16</v>
      </c>
      <c r="B25">
        <v>2500</v>
      </c>
    </row>
    <row r="26" spans="1:2" x14ac:dyDescent="0.3">
      <c r="A26" t="s">
        <v>17</v>
      </c>
      <c r="B26">
        <v>2500</v>
      </c>
    </row>
    <row r="27" spans="1:2" x14ac:dyDescent="0.3">
      <c r="A27" t="s">
        <v>18</v>
      </c>
      <c r="B27">
        <v>2500</v>
      </c>
    </row>
    <row r="28" spans="1:2" x14ac:dyDescent="0.3">
      <c r="A28" t="s">
        <v>19</v>
      </c>
      <c r="B28">
        <v>2500</v>
      </c>
    </row>
    <row r="29" spans="1:2" x14ac:dyDescent="0.3">
      <c r="A29" t="s">
        <v>34</v>
      </c>
      <c r="B29">
        <f>SUBTOTAL(109,Таблица1[Спрос, т])</f>
        <v>60000</v>
      </c>
    </row>
    <row r="30" spans="1:2" x14ac:dyDescent="0.3">
      <c r="A30"/>
      <c r="B30" s="8"/>
    </row>
    <row r="31" spans="1:2" x14ac:dyDescent="0.3">
      <c r="A31" t="s">
        <v>35</v>
      </c>
      <c r="B31" t="s">
        <v>36</v>
      </c>
    </row>
    <row r="32" spans="1:2" x14ac:dyDescent="0.3">
      <c r="A32" t="s">
        <v>20</v>
      </c>
      <c r="B32">
        <v>20000</v>
      </c>
    </row>
    <row r="33" spans="1:2" x14ac:dyDescent="0.3">
      <c r="A33" t="s">
        <v>21</v>
      </c>
      <c r="B33">
        <v>20000</v>
      </c>
    </row>
    <row r="34" spans="1:2" x14ac:dyDescent="0.3">
      <c r="A34" t="s">
        <v>34</v>
      </c>
      <c r="B34">
        <f>SUBTOTAL(109,Таблица2[Мощность])</f>
        <v>40000</v>
      </c>
    </row>
    <row r="35" spans="1:2" x14ac:dyDescent="0.3">
      <c r="A35"/>
      <c r="B35" s="8"/>
    </row>
    <row r="36" spans="1:2" x14ac:dyDescent="0.3">
      <c r="A36"/>
      <c r="B36" s="8"/>
    </row>
    <row r="37" spans="1:2" x14ac:dyDescent="0.3">
      <c r="A37" s="5" t="s">
        <v>51</v>
      </c>
      <c r="B37" s="9"/>
    </row>
    <row r="38" spans="1:2" x14ac:dyDescent="0.3">
      <c r="A38" s="5" t="s">
        <v>46</v>
      </c>
      <c r="B38" s="9"/>
    </row>
    <row r="39" spans="1:2" x14ac:dyDescent="0.3">
      <c r="B39" s="9"/>
    </row>
    <row r="40" spans="1:2" x14ac:dyDescent="0.3">
      <c r="A40" s="5" t="s">
        <v>38</v>
      </c>
    </row>
    <row r="42" spans="1:2" x14ac:dyDescent="0.3">
      <c r="A42" s="6" t="s">
        <v>37</v>
      </c>
    </row>
    <row r="43" spans="1:2" x14ac:dyDescent="0.3">
      <c r="A43" s="5" t="s">
        <v>49</v>
      </c>
    </row>
    <row r="44" spans="1:2" x14ac:dyDescent="0.3">
      <c r="A44" s="5" t="s">
        <v>52</v>
      </c>
    </row>
    <row r="45" spans="1:2" x14ac:dyDescent="0.3">
      <c r="A45" s="5" t="s">
        <v>53</v>
      </c>
    </row>
    <row r="47" spans="1:2" x14ac:dyDescent="0.3">
      <c r="A47" s="5" t="s">
        <v>50</v>
      </c>
    </row>
    <row r="48" spans="1:2" x14ac:dyDescent="0.3">
      <c r="A48" s="5" t="s">
        <v>48</v>
      </c>
    </row>
    <row r="50" spans="1:1" x14ac:dyDescent="0.3">
      <c r="A50" s="5" t="s">
        <v>54</v>
      </c>
    </row>
    <row r="52" spans="1:1" x14ac:dyDescent="0.3">
      <c r="A52" s="5" t="s">
        <v>55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RowHeight="14.4" x14ac:dyDescent="0.3"/>
  <cols>
    <col min="1" max="1" width="18.88671875" customWidth="1"/>
  </cols>
  <sheetData>
    <row r="1" spans="1:4" x14ac:dyDescent="0.3">
      <c r="A1" s="1" t="s">
        <v>23</v>
      </c>
      <c r="B1" s="1" t="s">
        <v>25</v>
      </c>
      <c r="C1" s="1" t="s">
        <v>26</v>
      </c>
      <c r="D1" s="1" t="s">
        <v>27</v>
      </c>
    </row>
    <row r="2" spans="1:4" x14ac:dyDescent="0.3">
      <c r="A2" s="1" t="s">
        <v>0</v>
      </c>
      <c r="B2" s="2">
        <v>64.527264000000002</v>
      </c>
      <c r="C2" s="2">
        <v>40.62961</v>
      </c>
      <c r="D2" s="1">
        <v>2500</v>
      </c>
    </row>
    <row r="3" spans="1:4" x14ac:dyDescent="0.3">
      <c r="A3" s="1" t="s">
        <v>1</v>
      </c>
      <c r="B3" s="2">
        <v>56.140444000000002</v>
      </c>
      <c r="C3" s="2">
        <v>40.421624999999999</v>
      </c>
      <c r="D3" s="1">
        <v>2500</v>
      </c>
    </row>
    <row r="4" spans="1:4" x14ac:dyDescent="0.3">
      <c r="A4" s="1" t="s">
        <v>2</v>
      </c>
      <c r="B4" s="2">
        <v>59.223579000000001</v>
      </c>
      <c r="C4" s="2">
        <v>39.898924000000001</v>
      </c>
      <c r="D4" s="1">
        <v>2500</v>
      </c>
    </row>
    <row r="5" spans="1:4" x14ac:dyDescent="0.3">
      <c r="A5" s="1" t="s">
        <v>3</v>
      </c>
      <c r="B5" s="2">
        <v>51.664042999999999</v>
      </c>
      <c r="C5" s="2">
        <v>39.268515000000001</v>
      </c>
      <c r="D5" s="1">
        <v>2500</v>
      </c>
    </row>
    <row r="6" spans="1:4" x14ac:dyDescent="0.3">
      <c r="A6" s="1" t="s">
        <v>4</v>
      </c>
      <c r="B6" s="2">
        <v>56.838472000000003</v>
      </c>
      <c r="C6" s="2">
        <v>60.693458999999997</v>
      </c>
      <c r="D6" s="1">
        <v>2500</v>
      </c>
    </row>
    <row r="7" spans="1:4" x14ac:dyDescent="0.3">
      <c r="A7" s="1" t="s">
        <v>5</v>
      </c>
      <c r="B7" s="2">
        <v>55.798014000000002</v>
      </c>
      <c r="C7" s="2">
        <v>49.167124000000001</v>
      </c>
      <c r="D7" s="1">
        <v>5000</v>
      </c>
    </row>
    <row r="8" spans="1:4" x14ac:dyDescent="0.3">
      <c r="A8" s="1" t="s">
        <v>6</v>
      </c>
      <c r="B8" s="2">
        <v>51.737709000000002</v>
      </c>
      <c r="C8" s="2">
        <v>36.200026999999999</v>
      </c>
      <c r="D8" s="1">
        <v>2500</v>
      </c>
    </row>
    <row r="9" spans="1:4" x14ac:dyDescent="0.3">
      <c r="A9" s="1" t="s">
        <v>7</v>
      </c>
      <c r="B9" s="2">
        <v>55.810704999999999</v>
      </c>
      <c r="C9" s="2">
        <v>37.764961</v>
      </c>
      <c r="D9" s="1">
        <v>7500</v>
      </c>
    </row>
    <row r="10" spans="1:4" x14ac:dyDescent="0.3">
      <c r="A10" s="1" t="s">
        <v>8</v>
      </c>
      <c r="B10" s="2">
        <v>56.303848000000002</v>
      </c>
      <c r="C10" s="2">
        <v>44.017721000000002</v>
      </c>
      <c r="D10" s="1">
        <v>2500</v>
      </c>
    </row>
    <row r="11" spans="1:4" x14ac:dyDescent="0.3">
      <c r="A11" s="1" t="s">
        <v>9</v>
      </c>
      <c r="B11" s="2">
        <v>58.531610000000001</v>
      </c>
      <c r="C11" s="2">
        <v>31.308444999999999</v>
      </c>
      <c r="D11" s="1">
        <v>2500</v>
      </c>
    </row>
    <row r="12" spans="1:4" x14ac:dyDescent="0.3">
      <c r="A12" s="1" t="s">
        <v>10</v>
      </c>
      <c r="B12" s="2">
        <v>52.972486000000004</v>
      </c>
      <c r="C12" s="2">
        <v>36.087291999999998</v>
      </c>
      <c r="D12" s="1">
        <v>2500</v>
      </c>
    </row>
    <row r="13" spans="1:4" x14ac:dyDescent="0.3">
      <c r="A13" s="1" t="s">
        <v>11</v>
      </c>
      <c r="B13" s="2">
        <v>58.025930000000002</v>
      </c>
      <c r="C13" s="2">
        <v>56.304040999999998</v>
      </c>
      <c r="D13" s="1">
        <v>2500</v>
      </c>
    </row>
    <row r="14" spans="1:4" x14ac:dyDescent="0.3">
      <c r="A14" s="1" t="s">
        <v>12</v>
      </c>
      <c r="B14" s="2">
        <v>61.788195000000002</v>
      </c>
      <c r="C14" s="2">
        <v>34.358249999999998</v>
      </c>
      <c r="D14" s="1">
        <v>2500</v>
      </c>
    </row>
    <row r="15" spans="1:4" x14ac:dyDescent="0.3">
      <c r="A15" s="1" t="s">
        <v>13</v>
      </c>
      <c r="B15" s="2">
        <v>47.232103000000002</v>
      </c>
      <c r="C15" s="2">
        <v>39.722109000000003</v>
      </c>
      <c r="D15" s="1">
        <v>2500</v>
      </c>
    </row>
    <row r="16" spans="1:4" x14ac:dyDescent="0.3">
      <c r="A16" s="1" t="s">
        <v>14</v>
      </c>
      <c r="B16" s="2">
        <v>53.214302000000004</v>
      </c>
      <c r="C16" s="2">
        <v>50.185023999999999</v>
      </c>
      <c r="D16" s="1">
        <v>2500</v>
      </c>
    </row>
    <row r="17" spans="1:4" x14ac:dyDescent="0.3">
      <c r="A17" s="1" t="s">
        <v>15</v>
      </c>
      <c r="B17" s="2">
        <v>59.942556000000003</v>
      </c>
      <c r="C17" s="2">
        <v>30.263233</v>
      </c>
      <c r="D17" s="1">
        <v>5000</v>
      </c>
    </row>
    <row r="18" spans="1:4" x14ac:dyDescent="0.3">
      <c r="A18" s="1" t="s">
        <v>16</v>
      </c>
      <c r="B18" s="2">
        <v>51.528945999999998</v>
      </c>
      <c r="C18" s="2">
        <v>45.968665999999999</v>
      </c>
      <c r="D18" s="1">
        <v>2500</v>
      </c>
    </row>
    <row r="19" spans="1:4" x14ac:dyDescent="0.3">
      <c r="A19" s="1" t="s">
        <v>17</v>
      </c>
      <c r="B19" s="2">
        <v>54.796249000000003</v>
      </c>
      <c r="C19" s="2">
        <v>32.095235000000002</v>
      </c>
      <c r="D19" s="1">
        <v>2500</v>
      </c>
    </row>
    <row r="20" spans="1:4" x14ac:dyDescent="0.3">
      <c r="A20" s="1" t="s">
        <v>18</v>
      </c>
      <c r="B20" s="2">
        <v>43.582248999999997</v>
      </c>
      <c r="C20" s="2">
        <v>39.725631999999997</v>
      </c>
      <c r="D20" s="1">
        <v>2500</v>
      </c>
    </row>
    <row r="21" spans="1:4" x14ac:dyDescent="0.3">
      <c r="A21" s="1" t="s">
        <v>19</v>
      </c>
      <c r="B21" s="2">
        <v>55.140917000000002</v>
      </c>
      <c r="C21" s="2">
        <v>61.443444999999997</v>
      </c>
      <c r="D21" s="1">
        <v>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tabSelected="1" workbookViewId="0">
      <selection activeCell="H13" sqref="H13"/>
    </sheetView>
  </sheetViews>
  <sheetFormatPr defaultRowHeight="14.4" x14ac:dyDescent="0.3"/>
  <cols>
    <col min="1" max="1" width="19.88671875" customWidth="1"/>
  </cols>
  <sheetData>
    <row r="1" spans="1:5" x14ac:dyDescent="0.3">
      <c r="A1" s="1" t="s">
        <v>24</v>
      </c>
      <c r="B1" s="1" t="s">
        <v>25</v>
      </c>
      <c r="C1" s="1" t="s">
        <v>26</v>
      </c>
      <c r="D1" t="s">
        <v>22</v>
      </c>
      <c r="E1" t="s">
        <v>83</v>
      </c>
    </row>
    <row r="2" spans="1:5" x14ac:dyDescent="0.3">
      <c r="A2" s="1" t="s">
        <v>20</v>
      </c>
      <c r="B2" s="3">
        <v>57.603653000000001</v>
      </c>
      <c r="C2" s="3">
        <v>39.865693999999998</v>
      </c>
      <c r="D2">
        <v>20000</v>
      </c>
      <c r="E2">
        <v>1</v>
      </c>
    </row>
    <row r="3" spans="1:5" x14ac:dyDescent="0.3">
      <c r="A3" s="1" t="s">
        <v>21</v>
      </c>
      <c r="B3" s="3">
        <v>45.613292999999999</v>
      </c>
      <c r="C3" s="3">
        <v>38.933734999999999</v>
      </c>
      <c r="D3">
        <v>20000</v>
      </c>
      <c r="E3">
        <v>1</v>
      </c>
    </row>
    <row r="4" spans="1:5" x14ac:dyDescent="0.3">
      <c r="A4" s="1" t="s">
        <v>0</v>
      </c>
      <c r="B4" s="3">
        <v>64.527264000000002</v>
      </c>
      <c r="C4" s="3">
        <v>40.62961</v>
      </c>
      <c r="D4">
        <v>20000</v>
      </c>
      <c r="E4">
        <v>0</v>
      </c>
    </row>
    <row r="5" spans="1:5" x14ac:dyDescent="0.3">
      <c r="A5" s="1" t="s">
        <v>1</v>
      </c>
      <c r="B5" s="3">
        <v>56.140444000000002</v>
      </c>
      <c r="C5" s="3">
        <v>40.421624999999999</v>
      </c>
      <c r="D5">
        <v>20000</v>
      </c>
      <c r="E5">
        <v>0</v>
      </c>
    </row>
    <row r="6" spans="1:5" x14ac:dyDescent="0.3">
      <c r="A6" s="1" t="s">
        <v>2</v>
      </c>
      <c r="B6" s="3">
        <v>59.223579000000001</v>
      </c>
      <c r="C6" s="3">
        <v>39.898924000000001</v>
      </c>
      <c r="D6">
        <v>20000</v>
      </c>
      <c r="E6">
        <v>0</v>
      </c>
    </row>
    <row r="7" spans="1:5" x14ac:dyDescent="0.3">
      <c r="A7" s="1" t="s">
        <v>3</v>
      </c>
      <c r="B7" s="3">
        <v>51.664042999999999</v>
      </c>
      <c r="C7" s="3">
        <v>39.268515000000001</v>
      </c>
      <c r="D7">
        <v>20000</v>
      </c>
      <c r="E7">
        <v>0</v>
      </c>
    </row>
    <row r="8" spans="1:5" x14ac:dyDescent="0.3">
      <c r="A8" s="1" t="s">
        <v>4</v>
      </c>
      <c r="B8" s="3">
        <v>56.838472000000003</v>
      </c>
      <c r="C8" s="3">
        <v>60.693458999999997</v>
      </c>
      <c r="D8">
        <v>20000</v>
      </c>
      <c r="E8">
        <v>0</v>
      </c>
    </row>
    <row r="9" spans="1:5" x14ac:dyDescent="0.3">
      <c r="A9" s="1" t="s">
        <v>5</v>
      </c>
      <c r="B9" s="3">
        <v>55.798014000000002</v>
      </c>
      <c r="C9" s="3">
        <v>49.167124000000001</v>
      </c>
      <c r="D9">
        <v>20000</v>
      </c>
      <c r="E9">
        <v>0</v>
      </c>
    </row>
    <row r="10" spans="1:5" x14ac:dyDescent="0.3">
      <c r="A10" s="1" t="s">
        <v>6</v>
      </c>
      <c r="B10" s="3">
        <v>51.737709000000002</v>
      </c>
      <c r="C10" s="3">
        <v>36.200026999999999</v>
      </c>
      <c r="D10">
        <v>20000</v>
      </c>
      <c r="E10">
        <v>0</v>
      </c>
    </row>
    <row r="11" spans="1:5" x14ac:dyDescent="0.3">
      <c r="A11" s="1" t="s">
        <v>7</v>
      </c>
      <c r="B11" s="3">
        <v>55.810704999999999</v>
      </c>
      <c r="C11" s="3">
        <v>37.764961</v>
      </c>
      <c r="D11">
        <v>20000</v>
      </c>
      <c r="E11">
        <v>0</v>
      </c>
    </row>
    <row r="12" spans="1:5" x14ac:dyDescent="0.3">
      <c r="A12" s="1" t="s">
        <v>8</v>
      </c>
      <c r="B12" s="3">
        <v>56.303848000000002</v>
      </c>
      <c r="C12" s="3">
        <v>44.017721000000002</v>
      </c>
      <c r="D12">
        <v>20000</v>
      </c>
      <c r="E12">
        <v>0</v>
      </c>
    </row>
    <row r="13" spans="1:5" x14ac:dyDescent="0.3">
      <c r="A13" s="1" t="s">
        <v>9</v>
      </c>
      <c r="B13" s="3">
        <v>58.531610000000001</v>
      </c>
      <c r="C13" s="3">
        <v>31.308444999999999</v>
      </c>
      <c r="D13">
        <v>20000</v>
      </c>
      <c r="E13">
        <v>0</v>
      </c>
    </row>
    <row r="14" spans="1:5" x14ac:dyDescent="0.3">
      <c r="A14" s="1" t="s">
        <v>10</v>
      </c>
      <c r="B14" s="3">
        <v>52.972486000000004</v>
      </c>
      <c r="C14" s="3">
        <v>36.087291999999998</v>
      </c>
      <c r="D14">
        <v>20000</v>
      </c>
      <c r="E14">
        <v>0</v>
      </c>
    </row>
    <row r="15" spans="1:5" x14ac:dyDescent="0.3">
      <c r="A15" s="1" t="s">
        <v>11</v>
      </c>
      <c r="B15" s="3">
        <v>58.025930000000002</v>
      </c>
      <c r="C15" s="3">
        <v>56.304040999999998</v>
      </c>
      <c r="D15">
        <v>20000</v>
      </c>
      <c r="E15">
        <v>0</v>
      </c>
    </row>
    <row r="16" spans="1:5" x14ac:dyDescent="0.3">
      <c r="A16" s="1" t="s">
        <v>12</v>
      </c>
      <c r="B16" s="3">
        <v>61.788195000000002</v>
      </c>
      <c r="C16" s="3">
        <v>34.358249999999998</v>
      </c>
      <c r="D16">
        <v>20000</v>
      </c>
      <c r="E16">
        <v>0</v>
      </c>
    </row>
    <row r="17" spans="1:5" x14ac:dyDescent="0.3">
      <c r="A17" s="1" t="s">
        <v>13</v>
      </c>
      <c r="B17" s="3">
        <v>47.232103000000002</v>
      </c>
      <c r="C17" s="3">
        <v>39.722109000000003</v>
      </c>
      <c r="D17">
        <v>20000</v>
      </c>
      <c r="E17">
        <v>0</v>
      </c>
    </row>
    <row r="18" spans="1:5" x14ac:dyDescent="0.3">
      <c r="A18" s="1" t="s">
        <v>14</v>
      </c>
      <c r="B18" s="3">
        <v>53.214302000000004</v>
      </c>
      <c r="C18" s="3">
        <v>50.185023999999999</v>
      </c>
      <c r="D18">
        <v>20000</v>
      </c>
      <c r="E18">
        <v>0</v>
      </c>
    </row>
    <row r="19" spans="1:5" x14ac:dyDescent="0.3">
      <c r="A19" s="1" t="s">
        <v>15</v>
      </c>
      <c r="B19" s="3">
        <v>59.942556000000003</v>
      </c>
      <c r="C19" s="3">
        <v>30.263233</v>
      </c>
      <c r="D19">
        <v>20000</v>
      </c>
      <c r="E19">
        <v>0</v>
      </c>
    </row>
    <row r="20" spans="1:5" x14ac:dyDescent="0.3">
      <c r="A20" s="1" t="s">
        <v>16</v>
      </c>
      <c r="B20" s="3">
        <v>51.528945999999998</v>
      </c>
      <c r="C20" s="3">
        <v>45.968665999999999</v>
      </c>
      <c r="D20">
        <v>20000</v>
      </c>
      <c r="E20">
        <v>0</v>
      </c>
    </row>
    <row r="21" spans="1:5" x14ac:dyDescent="0.3">
      <c r="A21" s="1" t="s">
        <v>17</v>
      </c>
      <c r="B21" s="3">
        <v>54.796249000000003</v>
      </c>
      <c r="C21" s="3">
        <v>32.095235000000002</v>
      </c>
      <c r="D21">
        <v>20000</v>
      </c>
      <c r="E21">
        <v>0</v>
      </c>
    </row>
    <row r="22" spans="1:5" x14ac:dyDescent="0.3">
      <c r="A22" s="1" t="s">
        <v>18</v>
      </c>
      <c r="B22" s="3">
        <v>43.582248999999997</v>
      </c>
      <c r="C22" s="3">
        <v>39.725631999999997</v>
      </c>
      <c r="D22">
        <v>20000</v>
      </c>
      <c r="E22">
        <v>0</v>
      </c>
    </row>
    <row r="23" spans="1:5" x14ac:dyDescent="0.3">
      <c r="A23" s="1" t="s">
        <v>19</v>
      </c>
      <c r="B23" s="3">
        <v>55.140917000000002</v>
      </c>
      <c r="C23" s="3">
        <v>61.443444999999997</v>
      </c>
      <c r="D23">
        <v>20000</v>
      </c>
      <c r="E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9"/>
  <sheetViews>
    <sheetView showGridLines="0" workbookViewId="0">
      <selection activeCell="A25" sqref="A25:A26"/>
    </sheetView>
  </sheetViews>
  <sheetFormatPr defaultRowHeight="14.4" x14ac:dyDescent="0.3"/>
  <cols>
    <col min="1" max="1" width="15.5546875" customWidth="1"/>
    <col min="2" max="2" width="23.44140625" customWidth="1"/>
  </cols>
  <sheetData>
    <row r="1" spans="1:16" x14ac:dyDescent="0.3">
      <c r="A1" s="6" t="s">
        <v>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x14ac:dyDescent="0.3">
      <c r="A2" s="5" t="s">
        <v>40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x14ac:dyDescent="0.3">
      <c r="A3" s="5" t="s">
        <v>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3">
      <c r="A4" s="5" t="s">
        <v>42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spans="1:16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3">
      <c r="A14" s="5" t="s">
        <v>43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3">
      <c r="A25" s="5" t="s">
        <v>44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3">
      <c r="A26" s="5" t="s">
        <v>45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3"/>
  <sheetViews>
    <sheetView workbookViewId="0">
      <selection activeCell="D5" sqref="D5"/>
    </sheetView>
  </sheetViews>
  <sheetFormatPr defaultRowHeight="14.4" x14ac:dyDescent="0.3"/>
  <cols>
    <col min="1" max="1" width="9.44140625" customWidth="1"/>
    <col min="2" max="2" width="14.44140625" customWidth="1"/>
    <col min="3" max="3" width="5.6640625" customWidth="1"/>
    <col min="4" max="4" width="27.44140625" customWidth="1"/>
    <col min="5" max="5" width="6.5546875" customWidth="1"/>
    <col min="6" max="6" width="10.88671875" customWidth="1"/>
    <col min="9" max="9" width="7" customWidth="1"/>
  </cols>
  <sheetData>
    <row r="1" spans="1:10" x14ac:dyDescent="0.3">
      <c r="A1" s="11" t="s">
        <v>24</v>
      </c>
      <c r="B1" s="11" t="s">
        <v>56</v>
      </c>
      <c r="C1" s="11" t="s">
        <v>57</v>
      </c>
      <c r="D1" s="11" t="s">
        <v>58</v>
      </c>
      <c r="E1" s="11" t="s">
        <v>59</v>
      </c>
      <c r="F1" s="11" t="s">
        <v>60</v>
      </c>
      <c r="G1" s="11" t="s">
        <v>25</v>
      </c>
      <c r="H1" s="11" t="s">
        <v>26</v>
      </c>
      <c r="I1" s="11" t="s">
        <v>61</v>
      </c>
      <c r="J1" s="11" t="s">
        <v>62</v>
      </c>
    </row>
    <row r="2" spans="1:10" x14ac:dyDescent="0.3">
      <c r="A2" s="10" t="s">
        <v>5</v>
      </c>
      <c r="B2" s="10" t="s">
        <v>4</v>
      </c>
      <c r="C2" s="5">
        <v>1</v>
      </c>
      <c r="D2" s="10" t="s">
        <v>63</v>
      </c>
      <c r="E2" s="5">
        <v>2500</v>
      </c>
      <c r="F2" s="9">
        <v>2338212.4995734091</v>
      </c>
      <c r="G2" s="12">
        <v>55.798014000000002</v>
      </c>
      <c r="H2" s="12">
        <v>49.167124000000001</v>
      </c>
      <c r="I2" s="5">
        <v>20000</v>
      </c>
      <c r="J2" s="10" t="s">
        <v>5</v>
      </c>
    </row>
    <row r="3" spans="1:10" x14ac:dyDescent="0.3">
      <c r="A3" s="10" t="s">
        <v>5</v>
      </c>
      <c r="B3" s="10" t="s">
        <v>4</v>
      </c>
      <c r="C3" s="5">
        <v>2</v>
      </c>
      <c r="D3" s="10" t="s">
        <v>63</v>
      </c>
      <c r="E3" s="5">
        <v>2500</v>
      </c>
      <c r="F3" s="9">
        <v>2338212.4995734091</v>
      </c>
      <c r="G3" s="12">
        <v>56.838472000000003</v>
      </c>
      <c r="H3" s="12">
        <v>60.693458999999997</v>
      </c>
      <c r="I3" s="5">
        <v>2500</v>
      </c>
      <c r="J3" s="10" t="s">
        <v>4</v>
      </c>
    </row>
    <row r="4" spans="1:10" x14ac:dyDescent="0.3">
      <c r="A4" s="10" t="s">
        <v>5</v>
      </c>
      <c r="B4" s="10" t="s">
        <v>5</v>
      </c>
      <c r="C4" s="5">
        <v>1</v>
      </c>
      <c r="D4" s="10" t="s">
        <v>64</v>
      </c>
      <c r="E4" s="5">
        <v>5000</v>
      </c>
      <c r="F4" s="9">
        <v>250000</v>
      </c>
      <c r="G4" s="12">
        <v>55.798014000000002</v>
      </c>
      <c r="H4" s="12">
        <v>49.167124000000001</v>
      </c>
      <c r="I4" s="5">
        <v>20000</v>
      </c>
      <c r="J4" s="10" t="s">
        <v>5</v>
      </c>
    </row>
    <row r="5" spans="1:10" x14ac:dyDescent="0.3">
      <c r="A5" s="10" t="s">
        <v>5</v>
      </c>
      <c r="B5" s="10" t="s">
        <v>5</v>
      </c>
      <c r="C5" s="5">
        <v>2</v>
      </c>
      <c r="D5" s="10" t="s">
        <v>64</v>
      </c>
      <c r="E5" s="5">
        <v>5000</v>
      </c>
      <c r="F5" s="9">
        <v>250000</v>
      </c>
      <c r="G5" s="12">
        <v>55.798014000000002</v>
      </c>
      <c r="H5" s="12">
        <v>49.167124000000001</v>
      </c>
      <c r="I5" s="5">
        <v>5000</v>
      </c>
      <c r="J5" s="10" t="s">
        <v>5</v>
      </c>
    </row>
    <row r="6" spans="1:10" x14ac:dyDescent="0.3">
      <c r="A6" s="10" t="s">
        <v>5</v>
      </c>
      <c r="B6" s="10" t="s">
        <v>8</v>
      </c>
      <c r="C6" s="5">
        <v>1</v>
      </c>
      <c r="D6" s="10" t="s">
        <v>65</v>
      </c>
      <c r="E6" s="5">
        <v>2500</v>
      </c>
      <c r="F6" s="9">
        <v>1055224.9810551319</v>
      </c>
      <c r="G6" s="12">
        <v>55.798014000000002</v>
      </c>
      <c r="H6" s="12">
        <v>49.167124000000001</v>
      </c>
      <c r="I6" s="5">
        <v>20000</v>
      </c>
      <c r="J6" s="10" t="s">
        <v>5</v>
      </c>
    </row>
    <row r="7" spans="1:10" x14ac:dyDescent="0.3">
      <c r="A7" s="10" t="s">
        <v>5</v>
      </c>
      <c r="B7" s="10" t="s">
        <v>8</v>
      </c>
      <c r="C7" s="5">
        <v>2</v>
      </c>
      <c r="D7" s="10" t="s">
        <v>65</v>
      </c>
      <c r="E7" s="5">
        <v>2500</v>
      </c>
      <c r="F7" s="9">
        <v>1055224.9810551319</v>
      </c>
      <c r="G7" s="12">
        <v>56.303848000000002</v>
      </c>
      <c r="H7" s="12">
        <v>44.017721000000002</v>
      </c>
      <c r="I7" s="5">
        <v>2500</v>
      </c>
      <c r="J7" s="10" t="s">
        <v>8</v>
      </c>
    </row>
    <row r="8" spans="1:10" x14ac:dyDescent="0.3">
      <c r="A8" s="10" t="s">
        <v>5</v>
      </c>
      <c r="B8" s="10" t="s">
        <v>11</v>
      </c>
      <c r="C8" s="5">
        <v>1</v>
      </c>
      <c r="D8" s="10" t="s">
        <v>66</v>
      </c>
      <c r="E8" s="5">
        <v>2500</v>
      </c>
      <c r="F8" s="9">
        <v>1621254.8944655068</v>
      </c>
      <c r="G8" s="12">
        <v>55.798014000000002</v>
      </c>
      <c r="H8" s="12">
        <v>49.167124000000001</v>
      </c>
      <c r="I8" s="5">
        <v>20000</v>
      </c>
      <c r="J8" s="10" t="s">
        <v>5</v>
      </c>
    </row>
    <row r="9" spans="1:10" x14ac:dyDescent="0.3">
      <c r="A9" s="10" t="s">
        <v>5</v>
      </c>
      <c r="B9" s="10" t="s">
        <v>11</v>
      </c>
      <c r="C9" s="5">
        <v>2</v>
      </c>
      <c r="D9" s="10" t="s">
        <v>66</v>
      </c>
      <c r="E9" s="5">
        <v>2500</v>
      </c>
      <c r="F9" s="9">
        <v>1621254.8944655068</v>
      </c>
      <c r="G9" s="12">
        <v>58.025930000000002</v>
      </c>
      <c r="H9" s="12">
        <v>56.304040999999998</v>
      </c>
      <c r="I9" s="5">
        <v>2500</v>
      </c>
      <c r="J9" s="10" t="s">
        <v>11</v>
      </c>
    </row>
    <row r="10" spans="1:10" x14ac:dyDescent="0.3">
      <c r="A10" s="10" t="s">
        <v>5</v>
      </c>
      <c r="B10" s="10" t="s">
        <v>14</v>
      </c>
      <c r="C10" s="5">
        <v>1</v>
      </c>
      <c r="D10" s="10" t="s">
        <v>67</v>
      </c>
      <c r="E10" s="5">
        <v>2500</v>
      </c>
      <c r="F10" s="9">
        <v>958068.71886659134</v>
      </c>
      <c r="G10" s="12">
        <v>55.798014000000002</v>
      </c>
      <c r="H10" s="12">
        <v>49.167124000000001</v>
      </c>
      <c r="I10" s="5">
        <v>20000</v>
      </c>
      <c r="J10" s="10" t="s">
        <v>5</v>
      </c>
    </row>
    <row r="11" spans="1:10" x14ac:dyDescent="0.3">
      <c r="A11" s="10" t="s">
        <v>5</v>
      </c>
      <c r="B11" s="10" t="s">
        <v>14</v>
      </c>
      <c r="C11" s="5">
        <v>2</v>
      </c>
      <c r="D11" s="10" t="s">
        <v>67</v>
      </c>
      <c r="E11" s="5">
        <v>2500</v>
      </c>
      <c r="F11" s="9">
        <v>958068.71886659134</v>
      </c>
      <c r="G11" s="12">
        <v>53.214302000000004</v>
      </c>
      <c r="H11" s="12">
        <v>50.185023999999999</v>
      </c>
      <c r="I11" s="5">
        <v>2500</v>
      </c>
      <c r="J11" s="10" t="s">
        <v>14</v>
      </c>
    </row>
    <row r="12" spans="1:10" x14ac:dyDescent="0.3">
      <c r="A12" s="10" t="s">
        <v>5</v>
      </c>
      <c r="B12" s="10" t="s">
        <v>16</v>
      </c>
      <c r="C12" s="5">
        <v>1</v>
      </c>
      <c r="D12" s="10" t="s">
        <v>68</v>
      </c>
      <c r="E12" s="5">
        <v>2500</v>
      </c>
      <c r="F12" s="9">
        <v>1687990.7398075399</v>
      </c>
      <c r="G12" s="12">
        <v>55.798014000000002</v>
      </c>
      <c r="H12" s="12">
        <v>49.167124000000001</v>
      </c>
      <c r="I12" s="5">
        <v>20000</v>
      </c>
      <c r="J12" s="10" t="s">
        <v>5</v>
      </c>
    </row>
    <row r="13" spans="1:10" x14ac:dyDescent="0.3">
      <c r="A13" s="10" t="s">
        <v>5</v>
      </c>
      <c r="B13" s="10" t="s">
        <v>16</v>
      </c>
      <c r="C13" s="5">
        <v>2</v>
      </c>
      <c r="D13" s="10" t="s">
        <v>68</v>
      </c>
      <c r="E13" s="5">
        <v>2500</v>
      </c>
      <c r="F13" s="9">
        <v>1687990.7398075399</v>
      </c>
      <c r="G13" s="12">
        <v>51.528945999999998</v>
      </c>
      <c r="H13" s="12">
        <v>45.968665999999999</v>
      </c>
      <c r="I13" s="5">
        <v>2500</v>
      </c>
      <c r="J13" s="10" t="s">
        <v>16</v>
      </c>
    </row>
    <row r="14" spans="1:10" x14ac:dyDescent="0.3">
      <c r="A14" s="10" t="s">
        <v>5</v>
      </c>
      <c r="B14" s="10" t="s">
        <v>19</v>
      </c>
      <c r="C14" s="5">
        <v>1</v>
      </c>
      <c r="D14" s="10" t="s">
        <v>69</v>
      </c>
      <c r="E14" s="5">
        <v>2500</v>
      </c>
      <c r="F14" s="9">
        <v>2523329.672199212</v>
      </c>
      <c r="G14" s="12">
        <v>55.798014000000002</v>
      </c>
      <c r="H14" s="12">
        <v>49.167124000000001</v>
      </c>
      <c r="I14" s="5">
        <v>20000</v>
      </c>
      <c r="J14" s="10" t="s">
        <v>5</v>
      </c>
    </row>
    <row r="15" spans="1:10" x14ac:dyDescent="0.3">
      <c r="A15" s="10" t="s">
        <v>5</v>
      </c>
      <c r="B15" s="10" t="s">
        <v>19</v>
      </c>
      <c r="C15" s="5">
        <v>2</v>
      </c>
      <c r="D15" s="10" t="s">
        <v>69</v>
      </c>
      <c r="E15" s="5">
        <v>2500</v>
      </c>
      <c r="F15" s="9">
        <v>2523329.672199212</v>
      </c>
      <c r="G15" s="12">
        <v>55.140917000000002</v>
      </c>
      <c r="H15" s="12">
        <v>61.443444999999997</v>
      </c>
      <c r="I15" s="5">
        <v>2500</v>
      </c>
      <c r="J15" s="10" t="s">
        <v>19</v>
      </c>
    </row>
    <row r="16" spans="1:10" x14ac:dyDescent="0.3">
      <c r="A16" s="10" t="s">
        <v>9</v>
      </c>
      <c r="B16" s="10" t="s">
        <v>0</v>
      </c>
      <c r="C16" s="5">
        <v>1</v>
      </c>
      <c r="D16" s="10" t="s">
        <v>70</v>
      </c>
      <c r="E16" s="5">
        <v>2500</v>
      </c>
      <c r="F16" s="9">
        <v>2691958.5517792692</v>
      </c>
      <c r="G16" s="12">
        <v>58.531610000000001</v>
      </c>
      <c r="H16" s="12">
        <v>31.308444999999999</v>
      </c>
      <c r="I16" s="5">
        <v>20000</v>
      </c>
      <c r="J16" s="10" t="s">
        <v>9</v>
      </c>
    </row>
    <row r="17" spans="1:10" x14ac:dyDescent="0.3">
      <c r="A17" s="10" t="s">
        <v>9</v>
      </c>
      <c r="B17" s="10" t="s">
        <v>0</v>
      </c>
      <c r="C17" s="5">
        <v>2</v>
      </c>
      <c r="D17" s="10" t="s">
        <v>70</v>
      </c>
      <c r="E17" s="5">
        <v>2500</v>
      </c>
      <c r="F17" s="9">
        <v>2691958.5517792692</v>
      </c>
      <c r="G17" s="12">
        <v>64.527264000000002</v>
      </c>
      <c r="H17" s="12">
        <v>40.62961</v>
      </c>
      <c r="I17" s="5">
        <v>2500</v>
      </c>
      <c r="J17" s="10" t="s">
        <v>0</v>
      </c>
    </row>
    <row r="18" spans="1:10" x14ac:dyDescent="0.3">
      <c r="A18" s="10" t="s">
        <v>9</v>
      </c>
      <c r="B18" s="10" t="s">
        <v>1</v>
      </c>
      <c r="C18" s="5">
        <v>1</v>
      </c>
      <c r="D18" s="10" t="s">
        <v>71</v>
      </c>
      <c r="E18" s="5">
        <v>2499.9999999999991</v>
      </c>
      <c r="F18" s="9">
        <v>1974778.7059941441</v>
      </c>
      <c r="G18" s="12">
        <v>58.531610000000001</v>
      </c>
      <c r="H18" s="12">
        <v>31.308444999999999</v>
      </c>
      <c r="I18" s="5">
        <v>20000</v>
      </c>
      <c r="J18" s="10" t="s">
        <v>9</v>
      </c>
    </row>
    <row r="19" spans="1:10" x14ac:dyDescent="0.3">
      <c r="A19" s="10" t="s">
        <v>9</v>
      </c>
      <c r="B19" s="10" t="s">
        <v>1</v>
      </c>
      <c r="C19" s="5">
        <v>2</v>
      </c>
      <c r="D19" s="10" t="s">
        <v>71</v>
      </c>
      <c r="E19" s="5">
        <v>2499.9999999999991</v>
      </c>
      <c r="F19" s="9">
        <v>1974778.7059941441</v>
      </c>
      <c r="G19" s="12">
        <v>56.140444000000002</v>
      </c>
      <c r="H19" s="12">
        <v>40.421624999999999</v>
      </c>
      <c r="I19" s="5">
        <v>2500</v>
      </c>
      <c r="J19" s="10" t="s">
        <v>1</v>
      </c>
    </row>
    <row r="20" spans="1:10" x14ac:dyDescent="0.3">
      <c r="A20" s="10" t="s">
        <v>9</v>
      </c>
      <c r="B20" s="10" t="s">
        <v>2</v>
      </c>
      <c r="C20" s="5">
        <v>1</v>
      </c>
      <c r="D20" s="10" t="s">
        <v>72</v>
      </c>
      <c r="E20" s="5">
        <v>2500</v>
      </c>
      <c r="F20" s="9">
        <v>1623243.452339058</v>
      </c>
      <c r="G20" s="12">
        <v>58.531610000000001</v>
      </c>
      <c r="H20" s="12">
        <v>31.308444999999999</v>
      </c>
      <c r="I20" s="5">
        <v>20000</v>
      </c>
      <c r="J20" s="10" t="s">
        <v>9</v>
      </c>
    </row>
    <row r="21" spans="1:10" x14ac:dyDescent="0.3">
      <c r="A21" s="10" t="s">
        <v>9</v>
      </c>
      <c r="B21" s="10" t="s">
        <v>2</v>
      </c>
      <c r="C21" s="5">
        <v>2</v>
      </c>
      <c r="D21" s="10" t="s">
        <v>72</v>
      </c>
      <c r="E21" s="5">
        <v>2500</v>
      </c>
      <c r="F21" s="9">
        <v>1623243.452339058</v>
      </c>
      <c r="G21" s="12">
        <v>59.223579000000001</v>
      </c>
      <c r="H21" s="12">
        <v>39.898924000000001</v>
      </c>
      <c r="I21" s="5">
        <v>2500</v>
      </c>
      <c r="J21" s="10" t="s">
        <v>2</v>
      </c>
    </row>
    <row r="22" spans="1:10" x14ac:dyDescent="0.3">
      <c r="A22" s="10" t="s">
        <v>9</v>
      </c>
      <c r="B22" s="10" t="s">
        <v>9</v>
      </c>
      <c r="C22" s="5">
        <v>1</v>
      </c>
      <c r="D22" s="10" t="s">
        <v>73</v>
      </c>
      <c r="E22" s="5">
        <v>2500</v>
      </c>
      <c r="F22" s="9">
        <v>125000</v>
      </c>
      <c r="G22" s="12">
        <v>58.531610000000001</v>
      </c>
      <c r="H22" s="12">
        <v>31.308444999999999</v>
      </c>
      <c r="I22" s="5">
        <v>20000</v>
      </c>
      <c r="J22" s="10" t="s">
        <v>9</v>
      </c>
    </row>
    <row r="23" spans="1:10" x14ac:dyDescent="0.3">
      <c r="A23" s="10" t="s">
        <v>9</v>
      </c>
      <c r="B23" s="10" t="s">
        <v>9</v>
      </c>
      <c r="C23" s="5">
        <v>2</v>
      </c>
      <c r="D23" s="10" t="s">
        <v>73</v>
      </c>
      <c r="E23" s="5">
        <v>2500</v>
      </c>
      <c r="F23" s="9">
        <v>125000</v>
      </c>
      <c r="G23" s="12">
        <v>58.531610000000001</v>
      </c>
      <c r="H23" s="12">
        <v>31.308444999999999</v>
      </c>
      <c r="I23" s="5">
        <v>2500</v>
      </c>
      <c r="J23" s="10" t="s">
        <v>9</v>
      </c>
    </row>
    <row r="24" spans="1:10" x14ac:dyDescent="0.3">
      <c r="A24" s="10" t="s">
        <v>9</v>
      </c>
      <c r="B24" s="10" t="s">
        <v>12</v>
      </c>
      <c r="C24" s="5">
        <v>1</v>
      </c>
      <c r="D24" s="10" t="s">
        <v>74</v>
      </c>
      <c r="E24" s="5">
        <v>2500</v>
      </c>
      <c r="F24" s="9">
        <v>1298409.1702983554</v>
      </c>
      <c r="G24" s="12">
        <v>58.531610000000001</v>
      </c>
      <c r="H24" s="12">
        <v>31.308444999999999</v>
      </c>
      <c r="I24" s="5">
        <v>20000</v>
      </c>
      <c r="J24" s="10" t="s">
        <v>9</v>
      </c>
    </row>
    <row r="25" spans="1:10" x14ac:dyDescent="0.3">
      <c r="A25" s="10" t="s">
        <v>9</v>
      </c>
      <c r="B25" s="10" t="s">
        <v>12</v>
      </c>
      <c r="C25" s="5">
        <v>2</v>
      </c>
      <c r="D25" s="10" t="s">
        <v>74</v>
      </c>
      <c r="E25" s="5">
        <v>2500</v>
      </c>
      <c r="F25" s="9">
        <v>1298409.1702983554</v>
      </c>
      <c r="G25" s="12">
        <v>61.788195000000002</v>
      </c>
      <c r="H25" s="12">
        <v>34.358249999999998</v>
      </c>
      <c r="I25" s="5">
        <v>2500</v>
      </c>
      <c r="J25" s="10" t="s">
        <v>12</v>
      </c>
    </row>
    <row r="26" spans="1:10" x14ac:dyDescent="0.3">
      <c r="A26" s="10" t="s">
        <v>9</v>
      </c>
      <c r="B26" s="10" t="s">
        <v>15</v>
      </c>
      <c r="C26" s="5">
        <v>1</v>
      </c>
      <c r="D26" s="10" t="s">
        <v>75</v>
      </c>
      <c r="E26" s="5">
        <v>5000</v>
      </c>
      <c r="F26" s="9">
        <v>1090808.2471142749</v>
      </c>
      <c r="G26" s="12">
        <v>58.531610000000001</v>
      </c>
      <c r="H26" s="12">
        <v>31.308444999999999</v>
      </c>
      <c r="I26" s="5">
        <v>20000</v>
      </c>
      <c r="J26" s="10" t="s">
        <v>9</v>
      </c>
    </row>
    <row r="27" spans="1:10" x14ac:dyDescent="0.3">
      <c r="A27" s="10" t="s">
        <v>9</v>
      </c>
      <c r="B27" s="10" t="s">
        <v>15</v>
      </c>
      <c r="C27" s="5">
        <v>2</v>
      </c>
      <c r="D27" s="10" t="s">
        <v>75</v>
      </c>
      <c r="E27" s="5">
        <v>5000</v>
      </c>
      <c r="F27" s="9">
        <v>1090808.2471142749</v>
      </c>
      <c r="G27" s="12">
        <v>59.942556000000003</v>
      </c>
      <c r="H27" s="12">
        <v>30.263233</v>
      </c>
      <c r="I27" s="5">
        <v>5000</v>
      </c>
      <c r="J27" s="10" t="s">
        <v>15</v>
      </c>
    </row>
    <row r="28" spans="1:10" x14ac:dyDescent="0.3">
      <c r="A28" s="10" t="s">
        <v>9</v>
      </c>
      <c r="B28" s="10" t="s">
        <v>17</v>
      </c>
      <c r="C28" s="5">
        <v>1</v>
      </c>
      <c r="D28" s="10" t="s">
        <v>76</v>
      </c>
      <c r="E28" s="5">
        <v>2500</v>
      </c>
      <c r="F28" s="9">
        <v>1359268.7834766884</v>
      </c>
      <c r="G28" s="12">
        <v>58.531610000000001</v>
      </c>
      <c r="H28" s="12">
        <v>31.308444999999999</v>
      </c>
      <c r="I28" s="5">
        <v>20000</v>
      </c>
      <c r="J28" s="10" t="s">
        <v>9</v>
      </c>
    </row>
    <row r="29" spans="1:10" x14ac:dyDescent="0.3">
      <c r="A29" s="10" t="s">
        <v>9</v>
      </c>
      <c r="B29" s="10" t="s">
        <v>17</v>
      </c>
      <c r="C29" s="5">
        <v>2</v>
      </c>
      <c r="D29" s="10" t="s">
        <v>76</v>
      </c>
      <c r="E29" s="5">
        <v>2500</v>
      </c>
      <c r="F29" s="9">
        <v>1359268.7834766884</v>
      </c>
      <c r="G29" s="12">
        <v>54.796249000000003</v>
      </c>
      <c r="H29" s="12">
        <v>32.095235000000002</v>
      </c>
      <c r="I29" s="5">
        <v>2500</v>
      </c>
      <c r="J29" s="10" t="s">
        <v>17</v>
      </c>
    </row>
    <row r="30" spans="1:10" x14ac:dyDescent="0.3">
      <c r="A30" s="10" t="s">
        <v>10</v>
      </c>
      <c r="B30" s="10" t="s">
        <v>3</v>
      </c>
      <c r="C30" s="5">
        <v>1</v>
      </c>
      <c r="D30" s="10" t="s">
        <v>77</v>
      </c>
      <c r="E30" s="5">
        <v>2500</v>
      </c>
      <c r="F30" s="9">
        <v>847133.63991524291</v>
      </c>
      <c r="G30" s="12">
        <v>52.972486000000004</v>
      </c>
      <c r="H30" s="12">
        <v>36.087291999999998</v>
      </c>
      <c r="I30" s="5">
        <v>20000</v>
      </c>
      <c r="J30" s="10" t="s">
        <v>10</v>
      </c>
    </row>
    <row r="31" spans="1:10" x14ac:dyDescent="0.3">
      <c r="A31" s="10" t="s">
        <v>10</v>
      </c>
      <c r="B31" s="10" t="s">
        <v>3</v>
      </c>
      <c r="C31" s="5">
        <v>2</v>
      </c>
      <c r="D31" s="10" t="s">
        <v>77</v>
      </c>
      <c r="E31" s="5">
        <v>2500</v>
      </c>
      <c r="F31" s="9">
        <v>847133.63991524291</v>
      </c>
      <c r="G31" s="12">
        <v>51.664042999999999</v>
      </c>
      <c r="H31" s="12">
        <v>39.268515000000001</v>
      </c>
      <c r="I31" s="5">
        <v>2500</v>
      </c>
      <c r="J31" s="10" t="s">
        <v>3</v>
      </c>
    </row>
    <row r="32" spans="1:10" x14ac:dyDescent="0.3">
      <c r="A32" s="10" t="s">
        <v>10</v>
      </c>
      <c r="B32" s="10" t="s">
        <v>6</v>
      </c>
      <c r="C32" s="5">
        <v>1</v>
      </c>
      <c r="D32" s="10" t="s">
        <v>78</v>
      </c>
      <c r="E32" s="5">
        <v>2500</v>
      </c>
      <c r="F32" s="9">
        <v>447047.03785632871</v>
      </c>
      <c r="G32" s="12">
        <v>52.972486000000004</v>
      </c>
      <c r="H32" s="12">
        <v>36.087291999999998</v>
      </c>
      <c r="I32" s="5">
        <v>20000</v>
      </c>
      <c r="J32" s="10" t="s">
        <v>10</v>
      </c>
    </row>
    <row r="33" spans="1:10" x14ac:dyDescent="0.3">
      <c r="A33" s="10" t="s">
        <v>10</v>
      </c>
      <c r="B33" s="10" t="s">
        <v>6</v>
      </c>
      <c r="C33" s="5">
        <v>2</v>
      </c>
      <c r="D33" s="10" t="s">
        <v>78</v>
      </c>
      <c r="E33" s="5">
        <v>2500</v>
      </c>
      <c r="F33" s="9">
        <v>447047.03785632871</v>
      </c>
      <c r="G33" s="12">
        <v>51.737709000000002</v>
      </c>
      <c r="H33" s="12">
        <v>36.200026999999999</v>
      </c>
      <c r="I33" s="5">
        <v>2500</v>
      </c>
      <c r="J33" s="10" t="s">
        <v>6</v>
      </c>
    </row>
    <row r="34" spans="1:10" x14ac:dyDescent="0.3">
      <c r="A34" s="10" t="s">
        <v>10</v>
      </c>
      <c r="B34" s="10" t="s">
        <v>7</v>
      </c>
      <c r="C34" s="5">
        <v>1</v>
      </c>
      <c r="D34" s="10" t="s">
        <v>79</v>
      </c>
      <c r="E34" s="5">
        <v>7500</v>
      </c>
      <c r="F34" s="9">
        <v>3254861.0477961735</v>
      </c>
      <c r="G34" s="12">
        <v>52.972486000000004</v>
      </c>
      <c r="H34" s="12">
        <v>36.087291999999998</v>
      </c>
      <c r="I34" s="5">
        <v>20000</v>
      </c>
      <c r="J34" s="10" t="s">
        <v>10</v>
      </c>
    </row>
    <row r="35" spans="1:10" x14ac:dyDescent="0.3">
      <c r="A35" s="10" t="s">
        <v>10</v>
      </c>
      <c r="B35" s="10" t="s">
        <v>7</v>
      </c>
      <c r="C35" s="5">
        <v>2</v>
      </c>
      <c r="D35" s="10" t="s">
        <v>79</v>
      </c>
      <c r="E35" s="5">
        <v>7500</v>
      </c>
      <c r="F35" s="9">
        <v>3254861.0477961735</v>
      </c>
      <c r="G35" s="12">
        <v>55.810704999999999</v>
      </c>
      <c r="H35" s="12">
        <v>37.764961</v>
      </c>
      <c r="I35" s="5">
        <v>7500</v>
      </c>
      <c r="J35" s="10" t="s">
        <v>7</v>
      </c>
    </row>
    <row r="36" spans="1:10" x14ac:dyDescent="0.3">
      <c r="A36" s="10" t="s">
        <v>10</v>
      </c>
      <c r="B36" s="10" t="s">
        <v>10</v>
      </c>
      <c r="C36" s="5">
        <v>1</v>
      </c>
      <c r="D36" s="10" t="s">
        <v>80</v>
      </c>
      <c r="E36" s="5">
        <v>2500</v>
      </c>
      <c r="F36" s="9">
        <v>125000</v>
      </c>
      <c r="G36" s="12">
        <v>52.972486000000004</v>
      </c>
      <c r="H36" s="12">
        <v>36.087291999999998</v>
      </c>
      <c r="I36" s="5">
        <v>20000</v>
      </c>
      <c r="J36" s="10" t="s">
        <v>10</v>
      </c>
    </row>
    <row r="37" spans="1:10" x14ac:dyDescent="0.3">
      <c r="A37" s="10" t="s">
        <v>10</v>
      </c>
      <c r="B37" s="10" t="s">
        <v>10</v>
      </c>
      <c r="C37" s="5">
        <v>2</v>
      </c>
      <c r="D37" s="10" t="s">
        <v>80</v>
      </c>
      <c r="E37" s="5">
        <v>2500</v>
      </c>
      <c r="F37" s="9">
        <v>125000</v>
      </c>
      <c r="G37" s="12">
        <v>52.972486000000004</v>
      </c>
      <c r="H37" s="12">
        <v>36.087291999999998</v>
      </c>
      <c r="I37" s="5">
        <v>2500</v>
      </c>
      <c r="J37" s="10" t="s">
        <v>10</v>
      </c>
    </row>
    <row r="38" spans="1:10" x14ac:dyDescent="0.3">
      <c r="A38" s="10" t="s">
        <v>10</v>
      </c>
      <c r="B38" s="10" t="s">
        <v>13</v>
      </c>
      <c r="C38" s="5">
        <v>1</v>
      </c>
      <c r="D38" s="10" t="s">
        <v>81</v>
      </c>
      <c r="E38" s="5">
        <v>2500</v>
      </c>
      <c r="F38" s="9">
        <v>2238947.5122934515</v>
      </c>
      <c r="G38" s="12">
        <v>52.972486000000004</v>
      </c>
      <c r="H38" s="12">
        <v>36.087291999999998</v>
      </c>
      <c r="I38" s="5">
        <v>20000</v>
      </c>
      <c r="J38" s="10" t="s">
        <v>10</v>
      </c>
    </row>
    <row r="39" spans="1:10" x14ac:dyDescent="0.3">
      <c r="A39" s="10" t="s">
        <v>10</v>
      </c>
      <c r="B39" s="10" t="s">
        <v>13</v>
      </c>
      <c r="C39" s="5">
        <v>2</v>
      </c>
      <c r="D39" s="10" t="s">
        <v>81</v>
      </c>
      <c r="E39" s="5">
        <v>2500</v>
      </c>
      <c r="F39" s="9">
        <v>2238947.5122934515</v>
      </c>
      <c r="G39" s="12">
        <v>47.232103000000002</v>
      </c>
      <c r="H39" s="12">
        <v>39.722109000000003</v>
      </c>
      <c r="I39" s="5">
        <v>2500</v>
      </c>
      <c r="J39" s="10" t="s">
        <v>13</v>
      </c>
    </row>
    <row r="40" spans="1:10" x14ac:dyDescent="0.3">
      <c r="A40" s="10" t="s">
        <v>10</v>
      </c>
      <c r="B40" s="10" t="s">
        <v>18</v>
      </c>
      <c r="C40" s="5">
        <v>1</v>
      </c>
      <c r="D40" s="10" t="s">
        <v>82</v>
      </c>
      <c r="E40" s="5">
        <v>2500</v>
      </c>
      <c r="F40" s="9">
        <v>3504281.1835959055</v>
      </c>
      <c r="G40" s="12">
        <v>52.972486000000004</v>
      </c>
      <c r="H40" s="12">
        <v>36.087291999999998</v>
      </c>
      <c r="I40" s="5">
        <v>20000</v>
      </c>
      <c r="J40" s="10" t="s">
        <v>10</v>
      </c>
    </row>
    <row r="41" spans="1:10" x14ac:dyDescent="0.3">
      <c r="A41" s="10" t="s">
        <v>10</v>
      </c>
      <c r="B41" s="10" t="s">
        <v>18</v>
      </c>
      <c r="C41" s="5">
        <v>2</v>
      </c>
      <c r="D41" s="10" t="s">
        <v>82</v>
      </c>
      <c r="E41" s="5">
        <v>2500</v>
      </c>
      <c r="F41" s="9">
        <v>3504281.1835959055</v>
      </c>
      <c r="G41" s="12">
        <v>43.582248999999997</v>
      </c>
      <c r="H41" s="12">
        <v>39.725631999999997</v>
      </c>
      <c r="I41" s="5">
        <v>2500</v>
      </c>
      <c r="J41" s="10" t="s">
        <v>18</v>
      </c>
    </row>
    <row r="42" spans="1:10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32EDF-8D8A-4B9A-8B19-A37217111429}">
  <ds:schemaRefs>
    <ds:schemaRef ds:uri="http://www.w3.org/2001/XMLSchema"/>
    <ds:schemaRef ds:uri="http://www.boozallen.com/argo/gui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Постановка задачи</vt:lpstr>
      <vt:lpstr>customers</vt:lpstr>
      <vt:lpstr>plants</vt:lpstr>
      <vt:lpstr>Как получить координаты</vt:lpstr>
      <vt:lpstr>rpt_example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Gleb Zakhodyakin</dc:creator>
  <cp:lastModifiedBy>zgv</cp:lastModifiedBy>
  <dcterms:created xsi:type="dcterms:W3CDTF">2017-04-16T13:05:56Z</dcterms:created>
  <dcterms:modified xsi:type="dcterms:W3CDTF">2026-03-02T06:59:57Z</dcterms:modified>
</cp:coreProperties>
</file>